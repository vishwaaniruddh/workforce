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b 2022 " sheetId="1" state="visible" r:id="rId2"/>
  </sheets>
  <definedNames>
    <definedName function="false" hidden="true" localSheetId="0" name="_xlnm._FilterDatabase" vbProcedure="false">'Feb 2022 '!$A$1:$AB$420</definedName>
    <definedName function="false" hidden="false" localSheetId="0" name="_xlnm._FilterDatabase" vbProcedure="false">'Feb 2022 '!$A$1:$AB$394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<sst xmlns="http://schemas.openxmlformats.org/spreadsheetml/2006/main" count="593" uniqueCount="118">
  <si>
    <t xml:space="preserve">City</t>
  </si>
  <si>
    <t xml:space="preserve">Ref Number (Card Number) or Certificate Number</t>
  </si>
  <si>
    <t xml:space="preserve">Time</t>
  </si>
  <si>
    <t xml:space="preserve">Date</t>
  </si>
  <si>
    <t xml:space="preserve">Rev Centre (POS Code)</t>
  </si>
  <si>
    <t xml:space="preserve">Check No</t>
  </si>
  <si>
    <t xml:space="preserve">No of Pax</t>
  </si>
  <si>
    <t xml:space="preserve">No of pax close</t>
  </si>
  <si>
    <t xml:space="preserve">Tender Media Number</t>
  </si>
  <si>
    <t xml:space="preserve">Food Amt</t>
  </si>
  <si>
    <t xml:space="preserve">Food Disc Amt</t>
  </si>
  <si>
    <t xml:space="preserve">Soft Bev Amt</t>
  </si>
  <si>
    <t xml:space="preserve">Soft Bev Disc Amt</t>
  </si>
  <si>
    <t xml:space="preserve">Indian Liq Amt</t>
  </si>
  <si>
    <t xml:space="preserve">Indian Liq Disc Amt</t>
  </si>
  <si>
    <t xml:space="preserve">Imp Liq Amt</t>
  </si>
  <si>
    <t xml:space="preserve">Imp Liq Disc Amt</t>
  </si>
  <si>
    <t xml:space="preserve">Tobacco Amt</t>
  </si>
  <si>
    <t xml:space="preserve">Tobacco Disc Amt </t>
  </si>
  <si>
    <t xml:space="preserve">Misc. Amt</t>
  </si>
  <si>
    <t xml:space="preserve">Misc. Disc Amt </t>
  </si>
  <si>
    <t xml:space="preserve">Tips</t>
  </si>
  <si>
    <t xml:space="preserve">Service Charge</t>
  </si>
  <si>
    <t xml:space="preserve">Nett Amount</t>
  </si>
  <si>
    <t xml:space="preserve">Total Tax Collected</t>
  </si>
  <si>
    <t xml:space="preserve">Gross Total</t>
  </si>
  <si>
    <t xml:space="preserve">Cashier Number</t>
  </si>
  <si>
    <t xml:space="preserve">Asian</t>
  </si>
  <si>
    <t xml:space="preserve">ird</t>
  </si>
  <si>
    <t xml:space="preserve">359</t>
  </si>
  <si>
    <t xml:space="preserve">tripplers</t>
  </si>
  <si>
    <t xml:space="preserve">277</t>
  </si>
  <si>
    <t xml:space="preserve">759</t>
  </si>
  <si>
    <t xml:space="preserve">312</t>
  </si>
  <si>
    <t xml:space="preserve">758</t>
  </si>
  <si>
    <t xml:space="preserve">08-:41</t>
  </si>
  <si>
    <t xml:space="preserve">20;58</t>
  </si>
  <si>
    <t xml:space="preserve">21;48</t>
  </si>
  <si>
    <t xml:space="preserve">740</t>
  </si>
  <si>
    <t xml:space="preserve">352</t>
  </si>
  <si>
    <t xml:space="preserve">363</t>
  </si>
  <si>
    <t xml:space="preserve">571</t>
  </si>
  <si>
    <t xml:space="preserve">794</t>
  </si>
  <si>
    <t xml:space="preserve">100249748-club marriott</t>
  </si>
  <si>
    <t xml:space="preserve">10060403-Club marroitt</t>
  </si>
  <si>
    <t xml:space="preserve">1010053-Discover</t>
  </si>
  <si>
    <t xml:space="preserve">12045851-varada</t>
  </si>
  <si>
    <t xml:space="preserve">12141221</t>
  </si>
  <si>
    <t xml:space="preserve">12153821/12000050014</t>
  </si>
  <si>
    <t xml:space="preserve">12158391/12000074015</t>
  </si>
  <si>
    <t xml:space="preserve">12160831/12000069015</t>
  </si>
  <si>
    <t xml:space="preserve">12177981/12000042017</t>
  </si>
  <si>
    <t xml:space="preserve">12271231/12000024014</t>
  </si>
  <si>
    <t xml:space="preserve">12271231/12000024015</t>
  </si>
  <si>
    <t xml:space="preserve">12337241/12000052016</t>
  </si>
  <si>
    <t xml:space="preserve">12373891/12000020014</t>
  </si>
  <si>
    <t xml:space="preserve">12375191/12000047014</t>
  </si>
  <si>
    <t xml:space="preserve">12391051/12000055017</t>
  </si>
  <si>
    <t xml:space="preserve">12415391</t>
  </si>
  <si>
    <t xml:space="preserve">12443791/12000093014</t>
  </si>
  <si>
    <t xml:space="preserve">12522381/12000048014</t>
  </si>
  <si>
    <t xml:space="preserve">12564331/12000051014</t>
  </si>
  <si>
    <t xml:space="preserve">12567831/12000004014</t>
  </si>
  <si>
    <t xml:space="preserve">12620641/12000059014</t>
  </si>
  <si>
    <t xml:space="preserve">12628551/12000109014</t>
  </si>
  <si>
    <t xml:space="preserve">12685951</t>
  </si>
  <si>
    <t xml:space="preserve">12738501/12000102015</t>
  </si>
  <si>
    <t xml:space="preserve">12738501/12000102017</t>
  </si>
  <si>
    <t xml:space="preserve">12745781/12000058017</t>
  </si>
  <si>
    <t xml:space="preserve">12762701/12000092014</t>
  </si>
  <si>
    <t xml:space="preserve">12762701/12000092015</t>
  </si>
  <si>
    <t xml:space="preserve">12766491/</t>
  </si>
  <si>
    <t xml:space="preserve">12776371/12000034014</t>
  </si>
  <si>
    <t xml:space="preserve">12813361/12000087014</t>
  </si>
  <si>
    <t xml:space="preserve">12986211</t>
  </si>
  <si>
    <t xml:space="preserve">14116841/14000041017</t>
  </si>
  <si>
    <t xml:space="preserve">14116841/14000041018</t>
  </si>
  <si>
    <t xml:space="preserve">14156471/14000008017</t>
  </si>
  <si>
    <t xml:space="preserve">14302911/14000060019</t>
  </si>
  <si>
    <t xml:space="preserve">14302911/14000060020</t>
  </si>
  <si>
    <t xml:space="preserve">14323221/14000010017</t>
  </si>
  <si>
    <t xml:space="preserve">14411021/14000005020</t>
  </si>
  <si>
    <t xml:space="preserve">14520691/14000049017</t>
  </si>
  <si>
    <t xml:space="preserve">188</t>
  </si>
  <si>
    <t xml:space="preserve">14577491/14000118017</t>
  </si>
  <si>
    <t xml:space="preserve">14641641/14000001019</t>
  </si>
  <si>
    <t xml:space="preserve">14658341/1400044017</t>
  </si>
  <si>
    <t xml:space="preserve">14679991/14000067012</t>
  </si>
  <si>
    <t xml:space="preserve">14691721+14000055020</t>
  </si>
  <si>
    <t xml:space="preserve">14691721/14000055017</t>
  </si>
  <si>
    <t xml:space="preserve">14691721/14000055019</t>
  </si>
  <si>
    <t xml:space="preserve">14707201/14000061018</t>
  </si>
  <si>
    <t xml:space="preserve">14719981-Phadke</t>
  </si>
  <si>
    <t xml:space="preserve">14723211/1400000319</t>
  </si>
  <si>
    <t xml:space="preserve">14723211/1400003018</t>
  </si>
  <si>
    <t xml:space="preserve">14745131/14000129018</t>
  </si>
  <si>
    <t xml:space="preserve">14750151/14000077018</t>
  </si>
  <si>
    <t xml:space="preserve">14783641/14000038018</t>
  </si>
  <si>
    <t xml:space="preserve">14783641/1400038017</t>
  </si>
  <si>
    <t xml:space="preserve">14802361/14000063020</t>
  </si>
  <si>
    <t xml:space="preserve">14844991/14000004017</t>
  </si>
  <si>
    <t xml:space="preserve">14937331/14000024017</t>
  </si>
  <si>
    <t xml:space="preserve">14986761/14000087020</t>
  </si>
  <si>
    <t xml:space="preserve">club four point</t>
  </si>
  <si>
    <t xml:space="preserve">dicover</t>
  </si>
  <si>
    <t xml:space="preserve">Dicover</t>
  </si>
  <si>
    <t xml:space="preserve">disciver</t>
  </si>
  <si>
    <t xml:space="preserve">discover</t>
  </si>
  <si>
    <t xml:space="preserve">Discover</t>
  </si>
  <si>
    <t xml:space="preserve">Discover-Fclkfj</t>
  </si>
  <si>
    <t xml:space="preserve">discover-hsuzr</t>
  </si>
  <si>
    <t xml:space="preserve">Discover-resytw</t>
  </si>
  <si>
    <t xml:space="preserve">10:15</t>
  </si>
  <si>
    <t xml:space="preserve">Discover-vcqexd</t>
  </si>
  <si>
    <t xml:space="preserve">discover-wditgf</t>
  </si>
  <si>
    <t xml:space="preserve">Discver</t>
  </si>
  <si>
    <t xml:space="preserve">discver</t>
  </si>
  <si>
    <t xml:space="preserve">disvo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</si>
</sst>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hh:mm"/>
    <numFmt numFmtId="166" formatCode="d\ mmm\ yy"/>
    <numFmt numFmtId="167" formatCode="@"/>
    <numFmt numFmtId="168" formatCode="General"/>
    <numFmt numFmtId="169" formatCode="0.00"/>
    <numFmt numFmtId="170" formatCode="0%"/>
    <numFmt numFmtId="171" formatCode="dd/mmm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4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8" activePane="bottomLeft" state="frozen"/>
      <selection pane="topLeft" activeCell="A1" activeCellId="0" sqref="A1"/>
      <selection pane="bottomLeft" activeCell="C122" activeCellId="0" sqref="C12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2" width="24.85"/>
    <col collapsed="false" customWidth="true" hidden="false" outlineLevel="0" max="3" min="3" style="3" width="11.28"/>
    <col collapsed="false" customWidth="true" hidden="false" outlineLevel="0" max="4" min="4" style="4" width="10.85"/>
    <col collapsed="false" customWidth="true" hidden="false" outlineLevel="0" max="5" min="5" style="1" width="13"/>
    <col collapsed="false" customWidth="true" hidden="false" outlineLevel="0" max="6" min="6" style="1" width="11.43"/>
    <col collapsed="false" customWidth="true" hidden="false" outlineLevel="0" max="7" min="7" style="1" width="5.71"/>
    <col collapsed="false" customWidth="true" hidden="false" outlineLevel="0" max="8" min="8" style="1" width="6"/>
    <col collapsed="false" customWidth="true" hidden="false" outlineLevel="0" max="9" min="9" style="1" width="8.14"/>
    <col collapsed="false" customWidth="true" hidden="false" outlineLevel="0" max="10" min="10" style="1" width="9.71"/>
    <col collapsed="false" customWidth="true" hidden="false" outlineLevel="0" max="11" min="11" style="1" width="9.57"/>
    <col collapsed="false" customWidth="true" hidden="false" outlineLevel="0" max="12" min="12" style="1" width="8.57"/>
    <col collapsed="false" customWidth="true" hidden="false" outlineLevel="0" max="13" min="13" style="1" width="8.85"/>
    <col collapsed="false" customWidth="true" hidden="false" outlineLevel="0" max="14" min="14" style="1" width="8"/>
    <col collapsed="false" customWidth="true" hidden="false" outlineLevel="0" max="15" min="15" style="1" width="8.14"/>
    <col collapsed="false" customWidth="true" hidden="false" outlineLevel="0" max="16" min="16" style="1" width="9.71"/>
    <col collapsed="false" customWidth="true" hidden="false" outlineLevel="0" max="17" min="17" style="1" width="8.85"/>
    <col collapsed="false" customWidth="true" hidden="true" outlineLevel="0" max="18" min="18" style="1" width="8.71"/>
    <col collapsed="false" customWidth="true" hidden="true" outlineLevel="0" max="19" min="19" style="1" width="8.85"/>
    <col collapsed="false" customWidth="true" hidden="true" outlineLevel="0" max="20" min="20" style="1" width="5.57"/>
    <col collapsed="false" customWidth="true" hidden="true" outlineLevel="0" max="21" min="21" style="1" width="8.85"/>
    <col collapsed="false" customWidth="true" hidden="true" outlineLevel="0" max="22" min="22" style="1" width="4.71"/>
    <col collapsed="false" customWidth="true" hidden="false" outlineLevel="0" max="23" min="23" style="1" width="7.85"/>
    <col collapsed="false" customWidth="true" hidden="false" outlineLevel="0" max="24" min="24" style="1" width="9"/>
    <col collapsed="false" customWidth="true" hidden="false" outlineLevel="0" max="25" min="25" style="1" width="9.57"/>
    <col collapsed="false" customWidth="true" hidden="false" outlineLevel="0" max="26" min="26" style="1" width="8.57"/>
    <col collapsed="false" customWidth="true" hidden="false" outlineLevel="0" max="27" min="27" style="1" width="9.57"/>
    <col collapsed="false" customWidth="false" hidden="false" outlineLevel="0" max="256" min="28" style="1" width="9.14"/>
    <col collapsed="false" customWidth="true" hidden="false" outlineLevel="0" max="257" min="257" style="1" width="9"/>
    <col collapsed="false" customWidth="true" hidden="false" outlineLevel="0" max="258" min="258" style="1" width="15.71"/>
    <col collapsed="false" customWidth="true" hidden="false" outlineLevel="0" max="259" min="259" style="1" width="5.57"/>
    <col collapsed="false" customWidth="true" hidden="false" outlineLevel="0" max="260" min="260" style="1" width="10.85"/>
    <col collapsed="false" customWidth="true" hidden="false" outlineLevel="0" max="261" min="261" style="1" width="7.28"/>
    <col collapsed="false" customWidth="true" hidden="false" outlineLevel="0" max="262" min="262" style="1" width="11.43"/>
    <col collapsed="false" customWidth="true" hidden="false" outlineLevel="0" max="263" min="263" style="1" width="5.71"/>
    <col collapsed="false" customWidth="true" hidden="false" outlineLevel="0" max="264" min="264" style="1" width="6"/>
    <col collapsed="false" customWidth="true" hidden="false" outlineLevel="0" max="265" min="265" style="1" width="8.14"/>
    <col collapsed="false" customWidth="true" hidden="false" outlineLevel="0" max="266" min="266" style="1" width="9.71"/>
    <col collapsed="false" customWidth="true" hidden="false" outlineLevel="0" max="267" min="267" style="1" width="8.85"/>
    <col collapsed="false" customWidth="true" hidden="false" outlineLevel="0" max="268" min="268" style="1" width="8.57"/>
    <col collapsed="false" customWidth="true" hidden="false" outlineLevel="0" max="269" min="269" style="1" width="8.85"/>
    <col collapsed="false" customWidth="true" hidden="false" outlineLevel="0" max="270" min="270" style="1" width="8"/>
    <col collapsed="false" customWidth="true" hidden="false" outlineLevel="0" max="271" min="271" style="1" width="8.14"/>
    <col collapsed="false" customWidth="true" hidden="false" outlineLevel="0" max="272" min="272" style="1" width="8"/>
    <col collapsed="false" customWidth="true" hidden="false" outlineLevel="0" max="273" min="273" style="1" width="8.85"/>
    <col collapsed="false" customWidth="false" hidden="true" outlineLevel="0" max="278" min="274" style="1" width="9.14"/>
    <col collapsed="false" customWidth="true" hidden="false" outlineLevel="0" max="279" min="279" style="1" width="7.85"/>
    <col collapsed="false" customWidth="true" hidden="false" outlineLevel="0" max="280" min="280" style="1" width="9"/>
    <col collapsed="false" customWidth="true" hidden="false" outlineLevel="0" max="281" min="281" style="1" width="9.57"/>
    <col collapsed="false" customWidth="true" hidden="false" outlineLevel="0" max="282" min="282" style="1" width="8.57"/>
    <col collapsed="false" customWidth="true" hidden="false" outlineLevel="0" max="283" min="283" style="1" width="9.57"/>
    <col collapsed="false" customWidth="false" hidden="false" outlineLevel="0" max="512" min="284" style="1" width="9.14"/>
    <col collapsed="false" customWidth="true" hidden="false" outlineLevel="0" max="513" min="513" style="1" width="9"/>
    <col collapsed="false" customWidth="true" hidden="false" outlineLevel="0" max="514" min="514" style="1" width="15.71"/>
    <col collapsed="false" customWidth="true" hidden="false" outlineLevel="0" max="515" min="515" style="1" width="5.57"/>
    <col collapsed="false" customWidth="true" hidden="false" outlineLevel="0" max="516" min="516" style="1" width="10.85"/>
    <col collapsed="false" customWidth="true" hidden="false" outlineLevel="0" max="517" min="517" style="1" width="7.28"/>
    <col collapsed="false" customWidth="true" hidden="false" outlineLevel="0" max="518" min="518" style="1" width="11.43"/>
    <col collapsed="false" customWidth="true" hidden="false" outlineLevel="0" max="519" min="519" style="1" width="5.71"/>
    <col collapsed="false" customWidth="true" hidden="false" outlineLevel="0" max="520" min="520" style="1" width="6"/>
    <col collapsed="false" customWidth="true" hidden="false" outlineLevel="0" max="521" min="521" style="1" width="8.14"/>
    <col collapsed="false" customWidth="true" hidden="false" outlineLevel="0" max="522" min="522" style="1" width="9.71"/>
    <col collapsed="false" customWidth="true" hidden="false" outlineLevel="0" max="523" min="523" style="1" width="8.85"/>
    <col collapsed="false" customWidth="true" hidden="false" outlineLevel="0" max="524" min="524" style="1" width="8.57"/>
    <col collapsed="false" customWidth="true" hidden="false" outlineLevel="0" max="525" min="525" style="1" width="8.85"/>
    <col collapsed="false" customWidth="true" hidden="false" outlineLevel="0" max="526" min="526" style="1" width="8"/>
    <col collapsed="false" customWidth="true" hidden="false" outlineLevel="0" max="527" min="527" style="1" width="8.14"/>
    <col collapsed="false" customWidth="true" hidden="false" outlineLevel="0" max="528" min="528" style="1" width="8"/>
    <col collapsed="false" customWidth="true" hidden="false" outlineLevel="0" max="529" min="529" style="1" width="8.85"/>
    <col collapsed="false" customWidth="false" hidden="true" outlineLevel="0" max="534" min="530" style="1" width="9.14"/>
    <col collapsed="false" customWidth="true" hidden="false" outlineLevel="0" max="535" min="535" style="1" width="7.85"/>
    <col collapsed="false" customWidth="true" hidden="false" outlineLevel="0" max="536" min="536" style="1" width="9"/>
    <col collapsed="false" customWidth="true" hidden="false" outlineLevel="0" max="537" min="537" style="1" width="9.57"/>
    <col collapsed="false" customWidth="true" hidden="false" outlineLevel="0" max="538" min="538" style="1" width="8.57"/>
    <col collapsed="false" customWidth="true" hidden="false" outlineLevel="0" max="539" min="539" style="1" width="9.57"/>
    <col collapsed="false" customWidth="false" hidden="false" outlineLevel="0" max="768" min="540" style="1" width="9.14"/>
    <col collapsed="false" customWidth="true" hidden="false" outlineLevel="0" max="769" min="769" style="1" width="9"/>
    <col collapsed="false" customWidth="true" hidden="false" outlineLevel="0" max="770" min="770" style="1" width="15.71"/>
    <col collapsed="false" customWidth="true" hidden="false" outlineLevel="0" max="771" min="771" style="1" width="5.57"/>
    <col collapsed="false" customWidth="true" hidden="false" outlineLevel="0" max="772" min="772" style="1" width="10.85"/>
    <col collapsed="false" customWidth="true" hidden="false" outlineLevel="0" max="773" min="773" style="1" width="7.28"/>
    <col collapsed="false" customWidth="true" hidden="false" outlineLevel="0" max="774" min="774" style="1" width="11.43"/>
    <col collapsed="false" customWidth="true" hidden="false" outlineLevel="0" max="775" min="775" style="1" width="5.71"/>
    <col collapsed="false" customWidth="true" hidden="false" outlineLevel="0" max="776" min="776" style="1" width="6"/>
    <col collapsed="false" customWidth="true" hidden="false" outlineLevel="0" max="777" min="777" style="1" width="8.14"/>
    <col collapsed="false" customWidth="true" hidden="false" outlineLevel="0" max="778" min="778" style="1" width="9.71"/>
    <col collapsed="false" customWidth="true" hidden="false" outlineLevel="0" max="779" min="779" style="1" width="8.85"/>
    <col collapsed="false" customWidth="true" hidden="false" outlineLevel="0" max="780" min="780" style="1" width="8.57"/>
    <col collapsed="false" customWidth="true" hidden="false" outlineLevel="0" max="781" min="781" style="1" width="8.85"/>
    <col collapsed="false" customWidth="true" hidden="false" outlineLevel="0" max="782" min="782" style="1" width="8"/>
    <col collapsed="false" customWidth="true" hidden="false" outlineLevel="0" max="783" min="783" style="1" width="8.14"/>
    <col collapsed="false" customWidth="true" hidden="false" outlineLevel="0" max="784" min="784" style="1" width="8"/>
    <col collapsed="false" customWidth="true" hidden="false" outlineLevel="0" max="785" min="785" style="1" width="8.85"/>
    <col collapsed="false" customWidth="false" hidden="true" outlineLevel="0" max="790" min="786" style="1" width="9.14"/>
    <col collapsed="false" customWidth="true" hidden="false" outlineLevel="0" max="791" min="791" style="1" width="7.85"/>
    <col collapsed="false" customWidth="true" hidden="false" outlineLevel="0" max="792" min="792" style="1" width="9"/>
    <col collapsed="false" customWidth="true" hidden="false" outlineLevel="0" max="793" min="793" style="1" width="9.57"/>
    <col collapsed="false" customWidth="true" hidden="false" outlineLevel="0" max="794" min="794" style="1" width="8.57"/>
    <col collapsed="false" customWidth="true" hidden="false" outlineLevel="0" max="795" min="795" style="1" width="9.57"/>
    <col collapsed="false" customWidth="false" hidden="false" outlineLevel="0" max="1024" min="796" style="1" width="9.14"/>
  </cols>
  <sheetData>
    <row r="1" s="10" customFormat="true" ht="54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9" t="s">
        <v>26</v>
      </c>
    </row>
    <row r="2" customFormat="false" ht="13.8" hidden="false" customHeight="false" outlineLevel="0" collapsed="false">
      <c r="B2" s="2" t="n">
        <v>1200000</v>
      </c>
      <c r="C2" s="3" t="n">
        <v>0.945833333333333</v>
      </c>
      <c r="D2" s="4" t="n">
        <v>44522</v>
      </c>
      <c r="E2" s="1" t="s">
        <v>27</v>
      </c>
      <c r="F2" s="1" t="n">
        <v>6608</v>
      </c>
      <c r="G2" s="1" t="n">
        <v>3</v>
      </c>
      <c r="H2" s="1" t="n">
        <v>3</v>
      </c>
      <c r="J2" s="1" t="n">
        <v>3600</v>
      </c>
      <c r="K2" s="1" t="n">
        <v>720</v>
      </c>
      <c r="X2" s="1" t="n">
        <v>2880</v>
      </c>
      <c r="Y2" s="1" t="n">
        <f aca="false">259.2+259.2</f>
        <v>518.4</v>
      </c>
      <c r="Z2" s="11" t="n">
        <f aca="false">X2+Y2</f>
        <v>3398.4</v>
      </c>
      <c r="AA2" s="1" t="n">
        <v>277</v>
      </c>
    </row>
    <row r="3" customFormat="false" ht="13.8" hidden="false" customHeight="false" outlineLevel="0" collapsed="false">
      <c r="B3" s="2" t="n">
        <v>12000000</v>
      </c>
      <c r="C3" s="3" t="n">
        <v>0.536805555555556</v>
      </c>
      <c r="D3" s="4" t="n">
        <v>44605</v>
      </c>
      <c r="E3" s="1" t="s">
        <v>27</v>
      </c>
      <c r="F3" s="1" t="n">
        <v>6900</v>
      </c>
      <c r="G3" s="1" t="n">
        <v>3</v>
      </c>
      <c r="H3" s="1" t="n">
        <v>3</v>
      </c>
      <c r="J3" s="1" t="n">
        <v>7495</v>
      </c>
      <c r="K3" s="1" t="n">
        <v>1510</v>
      </c>
      <c r="X3" s="1" t="n">
        <v>6042.78</v>
      </c>
      <c r="Y3" s="1" t="n">
        <f aca="false">543.85+543.85</f>
        <v>1087.7</v>
      </c>
      <c r="Z3" s="1" t="n">
        <f aca="false">X3+Y3</f>
        <v>7130.48</v>
      </c>
      <c r="AA3" s="1" t="n">
        <v>369</v>
      </c>
    </row>
    <row r="4" customFormat="false" ht="13.8" hidden="false" customHeight="false" outlineLevel="0" collapsed="false">
      <c r="B4" s="2" t="n">
        <v>12000000</v>
      </c>
      <c r="C4" s="3" t="n">
        <v>0.859722222222222</v>
      </c>
      <c r="D4" s="4" t="n">
        <v>44551</v>
      </c>
      <c r="E4" s="1" t="s">
        <v>27</v>
      </c>
      <c r="F4" s="1" t="n">
        <v>6775</v>
      </c>
      <c r="G4" s="1" t="n">
        <v>3</v>
      </c>
      <c r="H4" s="1" t="n">
        <v>3</v>
      </c>
      <c r="J4" s="1" t="n">
        <v>3750</v>
      </c>
      <c r="K4" s="1" t="n">
        <v>1875</v>
      </c>
      <c r="L4" s="1" t="n">
        <v>350</v>
      </c>
      <c r="M4" s="1" t="n">
        <v>175</v>
      </c>
      <c r="X4" s="1" t="n">
        <v>2419</v>
      </c>
      <c r="Y4" s="1" t="n">
        <f aca="false">184.5+184.5</f>
        <v>369</v>
      </c>
      <c r="Z4" s="1" t="n">
        <f aca="false">X4+Y4</f>
        <v>2788</v>
      </c>
      <c r="AA4" s="1" t="n">
        <v>277</v>
      </c>
    </row>
    <row r="5" customFormat="false" ht="13.8" hidden="false" customHeight="false" outlineLevel="0" collapsed="false">
      <c r="B5" s="2" t="n">
        <v>12000000</v>
      </c>
      <c r="C5" s="3" t="n">
        <v>0.568055555555556</v>
      </c>
      <c r="D5" s="4" t="n">
        <v>44550</v>
      </c>
      <c r="E5" s="1" t="s">
        <v>27</v>
      </c>
      <c r="F5" s="1" t="n">
        <v>6740</v>
      </c>
      <c r="G5" s="1" t="n">
        <v>1</v>
      </c>
      <c r="H5" s="1" t="n">
        <v>1</v>
      </c>
      <c r="J5" s="1" t="n">
        <v>1050</v>
      </c>
      <c r="K5" s="1" t="n">
        <v>525</v>
      </c>
      <c r="X5" s="1" t="n">
        <v>525</v>
      </c>
      <c r="Y5" s="1" t="n">
        <f aca="false">47.25+47.25</f>
        <v>94.5</v>
      </c>
      <c r="Z5" s="1" t="n">
        <f aca="false">X5+Y5</f>
        <v>619.5</v>
      </c>
      <c r="AA5" s="1" t="n">
        <v>312</v>
      </c>
    </row>
    <row r="6" customFormat="false" ht="13.8" hidden="false" customHeight="false" outlineLevel="0" collapsed="false">
      <c r="B6" s="2" t="n">
        <v>12000000</v>
      </c>
      <c r="C6" s="3" t="n">
        <v>0.888888888888889</v>
      </c>
      <c r="D6" s="4" t="n">
        <v>44524</v>
      </c>
      <c r="E6" s="1" t="s">
        <v>27</v>
      </c>
      <c r="F6" s="1" t="n">
        <v>6691</v>
      </c>
      <c r="G6" s="1" t="n">
        <v>1</v>
      </c>
      <c r="H6" s="1" t="n">
        <v>1</v>
      </c>
      <c r="J6" s="1" t="n">
        <v>1200</v>
      </c>
      <c r="K6" s="1" t="n">
        <v>240</v>
      </c>
      <c r="X6" s="1" t="n">
        <v>960</v>
      </c>
      <c r="Y6" s="1" t="n">
        <f aca="false">86.4+86.4</f>
        <v>172.8</v>
      </c>
      <c r="Z6" s="11" t="n">
        <f aca="false">X6+Y6</f>
        <v>1132.8</v>
      </c>
      <c r="AA6" s="1" t="n">
        <v>277</v>
      </c>
    </row>
    <row r="7" customFormat="false" ht="13.8" hidden="false" customHeight="false" outlineLevel="0" collapsed="false">
      <c r="B7" s="2" t="n">
        <v>12000000</v>
      </c>
      <c r="C7" s="3" t="n">
        <v>0.832638888888889</v>
      </c>
      <c r="D7" s="4" t="n">
        <v>44568</v>
      </c>
      <c r="E7" s="1" t="s">
        <v>27</v>
      </c>
      <c r="F7" s="1" t="n">
        <v>6424</v>
      </c>
      <c r="G7" s="1" t="n">
        <v>2</v>
      </c>
      <c r="H7" s="1" t="n">
        <v>2</v>
      </c>
      <c r="J7" s="1" t="n">
        <f aca="false">K7*2</f>
        <v>2033.48</v>
      </c>
      <c r="K7" s="1" t="n">
        <v>1016.74</v>
      </c>
      <c r="X7" s="1" t="n">
        <v>1016.73</v>
      </c>
      <c r="Y7" s="1" t="n">
        <f aca="false">91.51+91.51</f>
        <v>183.02</v>
      </c>
      <c r="Z7" s="1" t="n">
        <f aca="false">X7+Y7</f>
        <v>1199.75</v>
      </c>
      <c r="AA7" s="1" t="n">
        <v>371</v>
      </c>
    </row>
    <row r="8" customFormat="false" ht="13.8" hidden="false" customHeight="false" outlineLevel="0" collapsed="false">
      <c r="B8" s="2" t="n">
        <v>12000000</v>
      </c>
      <c r="C8" s="3" t="n">
        <v>0.935416666666667</v>
      </c>
      <c r="D8" s="4" t="n">
        <v>44615</v>
      </c>
      <c r="E8" s="1" t="s">
        <v>27</v>
      </c>
      <c r="F8" s="1" t="n">
        <v>6372</v>
      </c>
      <c r="G8" s="1" t="n">
        <v>6</v>
      </c>
      <c r="H8" s="1" t="n">
        <v>6</v>
      </c>
      <c r="J8" s="1" t="n">
        <v>7200</v>
      </c>
      <c r="K8" s="1" t="n">
        <v>3600</v>
      </c>
      <c r="X8" s="1" t="n">
        <v>3600</v>
      </c>
      <c r="Y8" s="1" t="n">
        <f aca="false">324+324</f>
        <v>648</v>
      </c>
      <c r="Z8" s="1" t="n">
        <f aca="false">X8+Y8</f>
        <v>4248</v>
      </c>
      <c r="AA8" s="1" t="n">
        <v>371</v>
      </c>
    </row>
    <row r="9" customFormat="false" ht="13.8" hidden="false" customHeight="false" outlineLevel="0" collapsed="false">
      <c r="B9" s="2" t="n">
        <v>12000000</v>
      </c>
      <c r="C9" s="3" t="n">
        <v>0.906944444444444</v>
      </c>
      <c r="D9" s="4" t="n">
        <v>44615</v>
      </c>
      <c r="E9" s="1" t="s">
        <v>27</v>
      </c>
      <c r="F9" s="1" t="n">
        <v>6369</v>
      </c>
      <c r="G9" s="1" t="n">
        <v>2</v>
      </c>
      <c r="H9" s="1" t="n">
        <v>2</v>
      </c>
      <c r="J9" s="1" t="n">
        <v>2400</v>
      </c>
      <c r="K9" s="1" t="n">
        <v>1200</v>
      </c>
      <c r="X9" s="1" t="n">
        <v>1200</v>
      </c>
      <c r="Y9" s="1" t="n">
        <v>216</v>
      </c>
      <c r="Z9" s="1" t="n">
        <f aca="false">X9+Y9</f>
        <v>1416</v>
      </c>
      <c r="AA9" s="1" t="n">
        <v>330</v>
      </c>
    </row>
    <row r="10" customFormat="false" ht="13.8" hidden="false" customHeight="false" outlineLevel="0" collapsed="false">
      <c r="B10" s="2" t="n">
        <v>12000000</v>
      </c>
      <c r="C10" s="3" t="n">
        <v>0.761111111111111</v>
      </c>
      <c r="D10" s="4" t="n">
        <v>44615</v>
      </c>
      <c r="E10" s="1" t="s">
        <v>27</v>
      </c>
      <c r="F10" s="1" t="n">
        <v>6350</v>
      </c>
      <c r="G10" s="1" t="n">
        <v>4</v>
      </c>
      <c r="H10" s="1" t="n">
        <v>4</v>
      </c>
      <c r="J10" s="1" t="n">
        <v>1100</v>
      </c>
      <c r="K10" s="1" t="n">
        <v>550</v>
      </c>
      <c r="X10" s="1" t="n">
        <v>550</v>
      </c>
      <c r="Y10" s="1" t="n">
        <f aca="false">49.5+49.5</f>
        <v>99</v>
      </c>
      <c r="Z10" s="1" t="n">
        <f aca="false">X10+Y10</f>
        <v>649</v>
      </c>
      <c r="AA10" s="1" t="n">
        <v>312</v>
      </c>
    </row>
    <row r="11" customFormat="false" ht="13.8" hidden="false" customHeight="false" outlineLevel="0" collapsed="false">
      <c r="B11" s="2" t="n">
        <v>12000000</v>
      </c>
      <c r="C11" s="3" t="n">
        <v>0.820833333333333</v>
      </c>
      <c r="D11" s="4" t="n">
        <v>44613</v>
      </c>
      <c r="E11" s="1" t="s">
        <v>28</v>
      </c>
      <c r="F11" s="1" t="n">
        <v>6296</v>
      </c>
      <c r="G11" s="1" t="n">
        <v>3</v>
      </c>
      <c r="H11" s="1" t="n">
        <v>3</v>
      </c>
      <c r="J11" s="1" t="n">
        <f aca="false">K11*5</f>
        <v>1437.5</v>
      </c>
      <c r="K11" s="1" t="n">
        <v>287.5</v>
      </c>
      <c r="X11" s="1" t="n">
        <v>862.5</v>
      </c>
      <c r="Y11" s="1" t="n">
        <f aca="false">77.63+7763</f>
        <v>7840.63</v>
      </c>
      <c r="Z11" s="1" t="n">
        <f aca="false">X11+Y11</f>
        <v>8703.13</v>
      </c>
      <c r="AA11" s="1" t="n">
        <v>371</v>
      </c>
      <c r="AB11" s="12"/>
    </row>
    <row r="12" customFormat="false" ht="13.8" hidden="false" customHeight="false" outlineLevel="0" collapsed="false">
      <c r="B12" s="2" t="n">
        <v>12000000</v>
      </c>
      <c r="C12" s="3" t="n">
        <v>0.610416666666667</v>
      </c>
      <c r="D12" s="4" t="n">
        <v>44613</v>
      </c>
      <c r="E12" s="1" t="s">
        <v>28</v>
      </c>
      <c r="F12" s="1" t="n">
        <v>1805</v>
      </c>
      <c r="G12" s="1" t="n">
        <v>1</v>
      </c>
      <c r="H12" s="1" t="n">
        <v>1</v>
      </c>
      <c r="J12" s="1" t="n">
        <f aca="false">K12*5</f>
        <v>1775</v>
      </c>
      <c r="K12" s="1" t="n">
        <v>355</v>
      </c>
      <c r="X12" s="1" t="n">
        <v>1420</v>
      </c>
      <c r="Y12" s="1" t="n">
        <f aca="false">127.8+127.8</f>
        <v>255.6</v>
      </c>
      <c r="Z12" s="1" t="n">
        <f aca="false">X12+Y12</f>
        <v>1675.6</v>
      </c>
      <c r="AA12" s="1" t="n">
        <v>312</v>
      </c>
      <c r="AB12" s="12"/>
    </row>
    <row r="13" customFormat="false" ht="13.8" hidden="false" customHeight="false" outlineLevel="0" collapsed="false">
      <c r="B13" s="2" t="n">
        <v>12038081</v>
      </c>
      <c r="C13" s="3" t="n">
        <v>0.8625</v>
      </c>
      <c r="D13" s="4" t="n">
        <v>44607</v>
      </c>
      <c r="E13" s="1" t="s">
        <v>27</v>
      </c>
      <c r="F13" s="1" t="n">
        <v>6047</v>
      </c>
      <c r="G13" s="1" t="n">
        <v>10</v>
      </c>
      <c r="H13" s="1" t="n">
        <v>10</v>
      </c>
      <c r="J13" s="1" t="n">
        <v>1200</v>
      </c>
      <c r="K13" s="1" t="n">
        <v>6500</v>
      </c>
      <c r="L13" s="1" t="n">
        <f aca="false">M13*2</f>
        <v>525</v>
      </c>
      <c r="M13" s="1" t="n">
        <v>262.5</v>
      </c>
      <c r="X13" s="1" t="n">
        <v>6762.5</v>
      </c>
      <c r="Y13" s="1" t="n">
        <f aca="false">608.63+608.63</f>
        <v>1217.26</v>
      </c>
      <c r="Z13" s="1" t="n">
        <f aca="false">X13+Y13</f>
        <v>7979.76</v>
      </c>
      <c r="AA13" s="1" t="n">
        <v>371</v>
      </c>
    </row>
    <row r="14" customFormat="false" ht="13.8" hidden="false" customHeight="false" outlineLevel="0" collapsed="false">
      <c r="B14" s="2" t="n">
        <v>12100791</v>
      </c>
      <c r="C14" s="3" t="n">
        <v>0.840277777777778</v>
      </c>
      <c r="D14" s="4" t="n">
        <v>44489</v>
      </c>
      <c r="E14" s="1" t="s">
        <v>27</v>
      </c>
      <c r="F14" s="1" t="n">
        <v>6349</v>
      </c>
      <c r="G14" s="1" t="n">
        <v>2</v>
      </c>
      <c r="H14" s="1" t="n">
        <v>2</v>
      </c>
      <c r="J14" s="1" t="n">
        <v>500</v>
      </c>
      <c r="K14" s="1" t="n">
        <v>250</v>
      </c>
      <c r="L14" s="1" t="n">
        <v>175</v>
      </c>
      <c r="M14" s="1" t="n">
        <v>35</v>
      </c>
      <c r="X14" s="1" t="n">
        <v>390</v>
      </c>
      <c r="Y14" s="1" t="n">
        <f aca="false">35.1+35.1</f>
        <v>70.2</v>
      </c>
      <c r="Z14" s="11" t="n">
        <f aca="false">X14+Y14</f>
        <v>460.2</v>
      </c>
      <c r="AA14" s="1" t="n">
        <v>277</v>
      </c>
    </row>
    <row r="15" customFormat="false" ht="13.8" hidden="false" customHeight="false" outlineLevel="0" collapsed="false">
      <c r="B15" s="2" t="n">
        <v>12100791</v>
      </c>
      <c r="C15" s="3" t="n">
        <v>0.917361111111111</v>
      </c>
      <c r="D15" s="4" t="n">
        <v>44612</v>
      </c>
      <c r="E15" s="1" t="s">
        <v>27</v>
      </c>
      <c r="F15" s="1" t="n">
        <v>6271</v>
      </c>
      <c r="G15" s="1" t="n">
        <v>4</v>
      </c>
      <c r="H15" s="1" t="n">
        <v>4</v>
      </c>
      <c r="J15" s="1" t="n">
        <f aca="false">500+575+450+500+525</f>
        <v>2550</v>
      </c>
      <c r="K15" s="1" t="n">
        <v>382.5</v>
      </c>
      <c r="X15" s="1" t="n">
        <v>2167.5</v>
      </c>
      <c r="Y15" s="1" t="n">
        <f aca="false">195.8+195.8</f>
        <v>391.6</v>
      </c>
      <c r="Z15" s="1" t="n">
        <f aca="false">X15+Y15</f>
        <v>2559.1</v>
      </c>
      <c r="AA15" s="1" t="n">
        <v>371</v>
      </c>
    </row>
    <row r="16" customFormat="false" ht="13.8" hidden="false" customHeight="false" outlineLevel="0" collapsed="false">
      <c r="B16" s="2" t="n">
        <v>12141451</v>
      </c>
      <c r="C16" s="3" t="n">
        <v>0.377777777777778</v>
      </c>
      <c r="D16" s="4" t="n">
        <v>44452</v>
      </c>
      <c r="E16" s="1" t="s">
        <v>27</v>
      </c>
      <c r="F16" s="1" t="n">
        <v>6831</v>
      </c>
      <c r="G16" s="1" t="n">
        <v>2</v>
      </c>
      <c r="H16" s="1" t="n">
        <v>2</v>
      </c>
      <c r="J16" s="12" t="n">
        <v>1200</v>
      </c>
      <c r="K16" s="12" t="n">
        <v>600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 t="n">
        <v>600</v>
      </c>
      <c r="Y16" s="12" t="n">
        <v>108</v>
      </c>
      <c r="Z16" s="11" t="n">
        <f aca="false">X16+Y16</f>
        <v>708</v>
      </c>
      <c r="AA16" s="13" t="s">
        <v>29</v>
      </c>
    </row>
    <row r="17" customFormat="false" ht="13.8" hidden="false" customHeight="false" outlineLevel="0" collapsed="false">
      <c r="B17" s="2" t="n">
        <v>12141451</v>
      </c>
      <c r="C17" s="3" t="n">
        <v>0.0909722222222222</v>
      </c>
      <c r="D17" s="4" t="n">
        <v>44452</v>
      </c>
      <c r="E17" s="1" t="s">
        <v>27</v>
      </c>
      <c r="F17" s="1" t="n">
        <v>6819</v>
      </c>
      <c r="G17" s="1" t="n">
        <v>3</v>
      </c>
      <c r="H17" s="1" t="n">
        <v>3</v>
      </c>
      <c r="J17" s="12" t="n">
        <v>1347</v>
      </c>
      <c r="K17" s="12" t="n">
        <v>444.51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 t="n">
        <v>902.49</v>
      </c>
      <c r="Y17" s="12" t="n">
        <f aca="false">81.22+81.22</f>
        <v>162.44</v>
      </c>
      <c r="Z17" s="11" t="n">
        <f aca="false">X17+Y17</f>
        <v>1064.93</v>
      </c>
      <c r="AA17" s="13" t="s">
        <v>29</v>
      </c>
    </row>
    <row r="18" customFormat="false" ht="13.8" hidden="false" customHeight="false" outlineLevel="0" collapsed="false">
      <c r="B18" s="2" t="n">
        <v>12141491</v>
      </c>
      <c r="C18" s="3" t="n">
        <v>0.876388888888889</v>
      </c>
      <c r="D18" s="4" t="n">
        <v>44551</v>
      </c>
      <c r="E18" s="1" t="s">
        <v>27</v>
      </c>
      <c r="F18" s="1" t="n">
        <v>6779</v>
      </c>
      <c r="G18" s="1" t="n">
        <v>2</v>
      </c>
      <c r="H18" s="1" t="n">
        <v>2</v>
      </c>
      <c r="J18" s="1" t="n">
        <v>4600</v>
      </c>
      <c r="K18" s="1" t="n">
        <v>2300</v>
      </c>
      <c r="O18" s="1" t="n">
        <v>350</v>
      </c>
      <c r="P18" s="1" t="n">
        <v>175</v>
      </c>
      <c r="X18" s="1" t="n">
        <v>2475</v>
      </c>
      <c r="Y18" s="1" t="n">
        <f aca="false">222.75+222.75</f>
        <v>445.5</v>
      </c>
      <c r="Z18" s="1" t="n">
        <f aca="false">X18+Y18</f>
        <v>2920.5</v>
      </c>
      <c r="AA18" s="1" t="n">
        <v>277</v>
      </c>
    </row>
    <row r="19" customFormat="false" ht="13.8" hidden="false" customHeight="false" outlineLevel="0" collapsed="false">
      <c r="B19" s="2" t="n">
        <v>12141491</v>
      </c>
      <c r="C19" s="3" t="n">
        <v>0.870833333333333</v>
      </c>
      <c r="D19" s="4" t="n">
        <v>44551</v>
      </c>
      <c r="E19" s="1" t="s">
        <v>30</v>
      </c>
      <c r="F19" s="1" t="n">
        <v>3694</v>
      </c>
      <c r="G19" s="1" t="n">
        <v>2</v>
      </c>
      <c r="H19" s="1" t="n">
        <v>2</v>
      </c>
      <c r="O19" s="1" t="n">
        <v>4510</v>
      </c>
      <c r="P19" s="1" t="n">
        <v>1810</v>
      </c>
      <c r="X19" s="1" t="n">
        <v>4510</v>
      </c>
      <c r="Y19" s="1" t="n">
        <v>902</v>
      </c>
      <c r="Z19" s="1" t="n">
        <f aca="false">X19+Y19</f>
        <v>5412</v>
      </c>
      <c r="AA19" s="1" t="n">
        <v>277</v>
      </c>
      <c r="AB19" s="12"/>
    </row>
    <row r="20" customFormat="false" ht="13.8" hidden="false" customHeight="false" outlineLevel="0" collapsed="false">
      <c r="B20" s="2" t="n">
        <v>12143451</v>
      </c>
      <c r="C20" s="3" t="n">
        <v>0.3625</v>
      </c>
      <c r="D20" s="4" t="n">
        <v>44449</v>
      </c>
      <c r="E20" s="1" t="s">
        <v>27</v>
      </c>
      <c r="F20" s="1" t="n">
        <v>6725</v>
      </c>
      <c r="G20" s="1" t="n">
        <v>2</v>
      </c>
      <c r="H20" s="1" t="n">
        <v>2</v>
      </c>
      <c r="J20" s="12" t="n">
        <v>2400</v>
      </c>
      <c r="K20" s="12" t="n">
        <v>1200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 t="n">
        <v>1200</v>
      </c>
      <c r="Y20" s="12" t="n">
        <v>216</v>
      </c>
      <c r="Z20" s="11" t="n">
        <f aca="false">X20+Y20</f>
        <v>1416</v>
      </c>
      <c r="AA20" s="13" t="s">
        <v>31</v>
      </c>
      <c r="AB20" s="12"/>
    </row>
    <row r="21" customFormat="false" ht="13.8" hidden="false" customHeight="false" outlineLevel="0" collapsed="false">
      <c r="B21" s="2" t="n">
        <v>12145251</v>
      </c>
      <c r="C21" s="3" t="n">
        <v>0.898611111111111</v>
      </c>
      <c r="D21" s="4" t="n">
        <v>44514</v>
      </c>
      <c r="E21" s="1" t="s">
        <v>27</v>
      </c>
      <c r="F21" s="1" t="n">
        <v>6341</v>
      </c>
      <c r="G21" s="1" t="n">
        <v>4</v>
      </c>
      <c r="H21" s="1" t="n">
        <v>4</v>
      </c>
      <c r="J21" s="1" t="n">
        <v>4800</v>
      </c>
      <c r="K21" s="1" t="n">
        <v>1200</v>
      </c>
      <c r="X21" s="1" t="n">
        <v>3600</v>
      </c>
      <c r="Y21" s="1" t="n">
        <v>648</v>
      </c>
      <c r="Z21" s="11" t="n">
        <f aca="false">X21+Y21</f>
        <v>4248</v>
      </c>
      <c r="AA21" s="1" t="n">
        <v>277</v>
      </c>
    </row>
    <row r="22" customFormat="false" ht="13.8" hidden="false" customHeight="false" outlineLevel="0" collapsed="false">
      <c r="B22" s="2" t="n">
        <v>12145251</v>
      </c>
      <c r="C22" s="3" t="n">
        <v>0.849305555555556</v>
      </c>
      <c r="D22" s="4" t="n">
        <v>44514</v>
      </c>
      <c r="E22" s="1" t="s">
        <v>30</v>
      </c>
      <c r="F22" s="1" t="n">
        <v>3271</v>
      </c>
      <c r="G22" s="1" t="n">
        <v>1</v>
      </c>
      <c r="H22" s="1" t="n">
        <v>1</v>
      </c>
      <c r="P22" s="1" t="n">
        <v>1350</v>
      </c>
      <c r="Q22" s="1" t="n">
        <v>270</v>
      </c>
      <c r="X22" s="1" t="n">
        <v>1080</v>
      </c>
      <c r="Y22" s="1" t="n">
        <v>216</v>
      </c>
      <c r="Z22" s="11" t="n">
        <f aca="false">X22+Y22</f>
        <v>1296</v>
      </c>
      <c r="AA22" s="1" t="n">
        <v>277</v>
      </c>
    </row>
    <row r="23" customFormat="false" ht="13.8" hidden="false" customHeight="false" outlineLevel="0" collapsed="false">
      <c r="B23" s="2" t="n">
        <v>12146451</v>
      </c>
      <c r="C23" s="3" t="n">
        <v>0.359722222222222</v>
      </c>
      <c r="D23" s="4" t="n">
        <v>44453</v>
      </c>
      <c r="E23" s="1" t="s">
        <v>27</v>
      </c>
      <c r="F23" s="1" t="n">
        <v>6865</v>
      </c>
      <c r="G23" s="1" t="n">
        <v>2</v>
      </c>
      <c r="H23" s="1" t="n">
        <v>2</v>
      </c>
      <c r="J23" s="12" t="n">
        <v>2400</v>
      </c>
      <c r="K23" s="12" t="n">
        <v>1200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 t="n">
        <v>1200</v>
      </c>
      <c r="Y23" s="12" t="n">
        <v>216</v>
      </c>
      <c r="Z23" s="11" t="n">
        <f aca="false">X23+Y23</f>
        <v>1416</v>
      </c>
      <c r="AA23" s="13" t="s">
        <v>31</v>
      </c>
    </row>
    <row r="24" customFormat="false" ht="13.8" hidden="false" customHeight="false" outlineLevel="0" collapsed="false">
      <c r="B24" s="2" t="n">
        <v>12146451</v>
      </c>
      <c r="C24" s="3" t="n">
        <v>0.0736111111111111</v>
      </c>
      <c r="D24" s="4" t="n">
        <v>44453</v>
      </c>
      <c r="E24" s="1" t="s">
        <v>27</v>
      </c>
      <c r="F24" s="1" t="n">
        <v>6850</v>
      </c>
      <c r="G24" s="1" t="n">
        <v>1</v>
      </c>
      <c r="H24" s="1" t="n">
        <v>1</v>
      </c>
      <c r="J24" s="12" t="n">
        <v>1249</v>
      </c>
      <c r="K24" s="12" t="n">
        <v>624.5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 t="n">
        <v>624.5</v>
      </c>
      <c r="Y24" s="12" t="n">
        <f aca="false">56.21+56.21</f>
        <v>112.42</v>
      </c>
      <c r="Z24" s="11" t="n">
        <f aca="false">X24+Y24</f>
        <v>736.92</v>
      </c>
      <c r="AA24" s="13" t="s">
        <v>31</v>
      </c>
    </row>
    <row r="25" customFormat="false" ht="13.8" hidden="false" customHeight="false" outlineLevel="0" collapsed="false">
      <c r="B25" s="2" t="n">
        <v>12146451</v>
      </c>
      <c r="C25" s="3" t="n">
        <v>0.388194444444444</v>
      </c>
      <c r="D25" s="4" t="n">
        <v>44451</v>
      </c>
      <c r="E25" s="1" t="s">
        <v>27</v>
      </c>
      <c r="F25" s="1" t="n">
        <v>6812</v>
      </c>
      <c r="G25" s="1" t="n">
        <v>2</v>
      </c>
      <c r="H25" s="1" t="n">
        <v>2</v>
      </c>
      <c r="J25" s="12" t="n">
        <v>2400</v>
      </c>
      <c r="K25" s="12" t="n">
        <v>1200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 t="n">
        <v>1200</v>
      </c>
      <c r="Y25" s="12" t="n">
        <v>216</v>
      </c>
      <c r="Z25" s="11" t="n">
        <f aca="false">X25+Y25</f>
        <v>1416</v>
      </c>
      <c r="AA25" s="13" t="s">
        <v>29</v>
      </c>
      <c r="AB25" s="12"/>
    </row>
    <row r="26" customFormat="false" ht="13.8" hidden="false" customHeight="false" outlineLevel="0" collapsed="false">
      <c r="B26" s="2" t="n">
        <v>12146451</v>
      </c>
      <c r="C26" s="3" t="n">
        <v>0.361111111111111</v>
      </c>
      <c r="D26" s="4" t="n">
        <v>44450</v>
      </c>
      <c r="E26" s="1" t="s">
        <v>27</v>
      </c>
      <c r="F26" s="1" t="n">
        <v>6763</v>
      </c>
      <c r="G26" s="1" t="n">
        <v>1</v>
      </c>
      <c r="H26" s="1" t="n">
        <v>1</v>
      </c>
      <c r="J26" s="12" t="n">
        <v>1200</v>
      </c>
      <c r="K26" s="12" t="n">
        <v>600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 t="n">
        <v>600</v>
      </c>
      <c r="Y26" s="12" t="n">
        <v>108</v>
      </c>
      <c r="Z26" s="11" t="n">
        <f aca="false">X26+Y26</f>
        <v>708</v>
      </c>
      <c r="AA26" s="13" t="s">
        <v>31</v>
      </c>
    </row>
    <row r="27" customFormat="false" ht="13.8" hidden="false" customHeight="false" outlineLevel="0" collapsed="false">
      <c r="B27" s="2" t="n">
        <v>12146451</v>
      </c>
      <c r="C27" s="3" t="n">
        <v>0.0861111111111111</v>
      </c>
      <c r="D27" s="4" t="n">
        <v>44450</v>
      </c>
      <c r="E27" s="1" t="s">
        <v>27</v>
      </c>
      <c r="F27" s="1" t="n">
        <v>6746</v>
      </c>
      <c r="G27" s="1" t="n">
        <v>2</v>
      </c>
      <c r="H27" s="1" t="n">
        <v>2</v>
      </c>
      <c r="J27" s="12" t="n">
        <v>2598</v>
      </c>
      <c r="K27" s="12" t="n">
        <v>1299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 t="n">
        <v>1299</v>
      </c>
      <c r="Y27" s="12" t="n">
        <v>233.82</v>
      </c>
      <c r="Z27" s="11" t="n">
        <f aca="false">X27+Y27</f>
        <v>1532.82</v>
      </c>
      <c r="AA27" s="13" t="s">
        <v>31</v>
      </c>
    </row>
    <row r="28" s="15" customFormat="true" ht="13.8" hidden="false" customHeight="false" outlineLevel="0" collapsed="false">
      <c r="A28" s="1"/>
      <c r="B28" s="2" t="n">
        <v>12146451</v>
      </c>
      <c r="C28" s="3" t="n">
        <v>0.102777777777778</v>
      </c>
      <c r="D28" s="4" t="n">
        <v>44472</v>
      </c>
      <c r="E28" s="1" t="s">
        <v>27</v>
      </c>
      <c r="F28" s="1" t="n">
        <v>6601</v>
      </c>
      <c r="G28" s="1" t="n">
        <v>3</v>
      </c>
      <c r="H28" s="1" t="n">
        <v>3</v>
      </c>
      <c r="I28" s="1"/>
      <c r="J28" s="12" t="n">
        <f aca="false">2998+749.5</f>
        <v>3747.5</v>
      </c>
      <c r="K28" s="12" t="n">
        <v>1236.68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 t="n">
        <v>2510.82</v>
      </c>
      <c r="Y28" s="12" t="n">
        <f aca="false">225.97+225.97</f>
        <v>451.94</v>
      </c>
      <c r="Z28" s="11" t="n">
        <f aca="false">X28+Y28</f>
        <v>2962.76</v>
      </c>
      <c r="AA28" s="13" t="s">
        <v>31</v>
      </c>
      <c r="AB28" s="14"/>
    </row>
    <row r="29" customFormat="false" ht="13.8" hidden="false" customHeight="false" outlineLevel="0" collapsed="false">
      <c r="B29" s="2" t="n">
        <v>12146451</v>
      </c>
      <c r="C29" s="3" t="n">
        <v>0.0756944444444444</v>
      </c>
      <c r="D29" s="4" t="n">
        <v>44416</v>
      </c>
      <c r="E29" s="1" t="s">
        <v>27</v>
      </c>
      <c r="F29" s="1" t="n">
        <v>6455</v>
      </c>
      <c r="G29" s="1" t="n">
        <v>2</v>
      </c>
      <c r="H29" s="1" t="n">
        <v>2</v>
      </c>
      <c r="J29" s="12" t="n">
        <v>1248</v>
      </c>
      <c r="K29" s="12" t="n">
        <v>624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 t="n">
        <v>624</v>
      </c>
      <c r="Y29" s="12" t="n">
        <f aca="false">56.16+56.16</f>
        <v>112.32</v>
      </c>
      <c r="Z29" s="11" t="n">
        <f aca="false">X29+Y29</f>
        <v>736.32</v>
      </c>
      <c r="AA29" s="13" t="s">
        <v>32</v>
      </c>
      <c r="AB29" s="12"/>
    </row>
    <row r="30" customFormat="false" ht="13.8" hidden="false" customHeight="false" outlineLevel="0" collapsed="false">
      <c r="B30" s="2" t="n">
        <v>12146451</v>
      </c>
      <c r="C30" s="3" t="n">
        <v>0.357638888888889</v>
      </c>
      <c r="D30" s="4" t="n">
        <v>44415</v>
      </c>
      <c r="E30" s="1" t="s">
        <v>27</v>
      </c>
      <c r="F30" s="1" t="n">
        <v>6441</v>
      </c>
      <c r="G30" s="1" t="n">
        <v>2</v>
      </c>
      <c r="H30" s="1" t="n">
        <v>2</v>
      </c>
      <c r="J30" s="12" t="n">
        <v>1150</v>
      </c>
      <c r="K30" s="12" t="n">
        <v>575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 t="n">
        <v>575</v>
      </c>
      <c r="Y30" s="12" t="n">
        <f aca="false">51.75+51.75</f>
        <v>103.5</v>
      </c>
      <c r="Z30" s="11" t="n">
        <f aca="false">X30+Y30</f>
        <v>678.5</v>
      </c>
      <c r="AA30" s="13" t="s">
        <v>33</v>
      </c>
      <c r="AB30" s="12"/>
    </row>
    <row r="31" customFormat="false" ht="13.8" hidden="false" customHeight="false" outlineLevel="0" collapsed="false">
      <c r="B31" s="2" t="n">
        <v>12146451</v>
      </c>
      <c r="C31" s="3" t="n">
        <v>0.334027777777778</v>
      </c>
      <c r="D31" s="4" t="n">
        <v>44413</v>
      </c>
      <c r="E31" s="1" t="s">
        <v>27</v>
      </c>
      <c r="F31" s="1" t="n">
        <v>6362</v>
      </c>
      <c r="G31" s="1" t="n">
        <v>2</v>
      </c>
      <c r="H31" s="1" t="n">
        <v>2</v>
      </c>
      <c r="J31" s="12" t="n">
        <v>2000</v>
      </c>
      <c r="K31" s="12" t="n">
        <v>1000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 t="n">
        <v>1000</v>
      </c>
      <c r="Y31" s="12" t="n">
        <v>180</v>
      </c>
      <c r="Z31" s="11" t="n">
        <f aca="false">X31+Y31</f>
        <v>1180</v>
      </c>
      <c r="AA31" s="13" t="s">
        <v>34</v>
      </c>
      <c r="AB31" s="12"/>
    </row>
    <row r="32" customFormat="false" ht="13.8" hidden="false" customHeight="false" outlineLevel="0" collapsed="false">
      <c r="B32" s="2" t="n">
        <v>12160831</v>
      </c>
      <c r="C32" s="3" t="n">
        <v>0.389583333333333</v>
      </c>
      <c r="D32" s="4" t="n">
        <v>44472</v>
      </c>
      <c r="E32" s="1" t="s">
        <v>30</v>
      </c>
      <c r="F32" s="1" t="n">
        <v>3830</v>
      </c>
      <c r="G32" s="1" t="n">
        <v>3</v>
      </c>
      <c r="H32" s="1" t="n">
        <v>3</v>
      </c>
      <c r="J32" s="12" t="n">
        <v>8820</v>
      </c>
      <c r="K32" s="12" t="n">
        <v>2040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 t="n">
        <v>6780</v>
      </c>
      <c r="Y32" s="12" t="n">
        <v>1356</v>
      </c>
      <c r="Z32" s="11" t="n">
        <f aca="false">X32+Y32</f>
        <v>8136</v>
      </c>
      <c r="AA32" s="13" t="s">
        <v>31</v>
      </c>
      <c r="AB32" s="12"/>
    </row>
    <row r="33" customFormat="false" ht="13.8" hidden="false" customHeight="false" outlineLevel="0" collapsed="false">
      <c r="B33" s="2" t="n">
        <v>12177981</v>
      </c>
      <c r="C33" s="3" t="n">
        <v>0.598611111111111</v>
      </c>
      <c r="D33" s="4" t="n">
        <v>44502</v>
      </c>
      <c r="E33" s="1" t="s">
        <v>27</v>
      </c>
      <c r="F33" s="1" t="n">
        <v>6908</v>
      </c>
      <c r="G33" s="1" t="n">
        <v>6</v>
      </c>
      <c r="H33" s="1" t="n">
        <v>6</v>
      </c>
      <c r="J33" s="1" t="n">
        <v>6000</v>
      </c>
      <c r="K33" s="1" t="n">
        <v>3000</v>
      </c>
      <c r="X33" s="1" t="n">
        <v>3000</v>
      </c>
      <c r="Y33" s="1" t="n">
        <v>540</v>
      </c>
      <c r="Z33" s="11" t="n">
        <f aca="false">X33+Y33</f>
        <v>3540</v>
      </c>
      <c r="AA33" s="1" t="n">
        <v>330</v>
      </c>
      <c r="AB33" s="12"/>
    </row>
    <row r="34" customFormat="false" ht="13.8" hidden="false" customHeight="false" outlineLevel="0" collapsed="false">
      <c r="B34" s="2" t="n">
        <v>12177981</v>
      </c>
      <c r="C34" s="3" t="n">
        <v>0.815277777777778</v>
      </c>
      <c r="D34" s="4" t="n">
        <v>44549</v>
      </c>
      <c r="E34" s="1" t="s">
        <v>30</v>
      </c>
      <c r="F34" s="1" t="n">
        <v>6709</v>
      </c>
      <c r="G34" s="1" t="n">
        <v>2</v>
      </c>
      <c r="H34" s="1" t="n">
        <v>2</v>
      </c>
      <c r="J34" s="1" t="n">
        <f aca="false">K34*5</f>
        <v>4650</v>
      </c>
      <c r="K34" s="1" t="n">
        <v>930</v>
      </c>
      <c r="X34" s="1" t="n">
        <v>3720</v>
      </c>
      <c r="Y34" s="1" t="n">
        <f aca="false">334.8+334.8</f>
        <v>669.6</v>
      </c>
      <c r="Z34" s="1" t="n">
        <f aca="false">X34+Y34</f>
        <v>4389.6</v>
      </c>
      <c r="AA34" s="1" t="n">
        <v>366</v>
      </c>
      <c r="AB34" s="12"/>
    </row>
    <row r="35" customFormat="false" ht="13.8" hidden="false" customHeight="false" outlineLevel="0" collapsed="false">
      <c r="B35" s="2" t="n">
        <v>12177981</v>
      </c>
      <c r="C35" s="3" t="n">
        <v>0.810416666666666</v>
      </c>
      <c r="D35" s="4" t="n">
        <v>44488</v>
      </c>
      <c r="E35" s="1" t="s">
        <v>27</v>
      </c>
      <c r="F35" s="1" t="n">
        <v>6308</v>
      </c>
      <c r="G35" s="1" t="n">
        <v>2</v>
      </c>
      <c r="H35" s="1" t="n">
        <v>2</v>
      </c>
      <c r="J35" s="1" t="n">
        <f aca="false">K35*2</f>
        <v>1475</v>
      </c>
      <c r="K35" s="1" t="n">
        <v>737.5</v>
      </c>
      <c r="X35" s="1" t="n">
        <v>362.5</v>
      </c>
      <c r="Y35" s="1" t="n">
        <f aca="false">32.63+32.63</f>
        <v>65.26</v>
      </c>
      <c r="Z35" s="11" t="n">
        <f aca="false">X35+Y35</f>
        <v>427.76</v>
      </c>
      <c r="AA35" s="1" t="n">
        <v>343</v>
      </c>
      <c r="AB35" s="12"/>
    </row>
    <row r="36" customFormat="false" ht="13.8" hidden="false" customHeight="false" outlineLevel="0" collapsed="false">
      <c r="B36" s="2" t="n">
        <v>12177981</v>
      </c>
      <c r="C36" s="3" t="n">
        <v>0.80625</v>
      </c>
      <c r="D36" s="4" t="n">
        <v>44507</v>
      </c>
      <c r="E36" s="1" t="s">
        <v>30</v>
      </c>
      <c r="F36" s="1" t="n">
        <v>3212</v>
      </c>
      <c r="G36" s="1" t="n">
        <v>2</v>
      </c>
      <c r="H36" s="1" t="n">
        <v>2</v>
      </c>
      <c r="P36" s="1" t="n">
        <v>1200</v>
      </c>
      <c r="Q36" s="1" t="n">
        <v>600</v>
      </c>
      <c r="X36" s="1" t="n">
        <v>600</v>
      </c>
      <c r="Y36" s="1" t="n">
        <v>120</v>
      </c>
      <c r="Z36" s="11" t="n">
        <f aca="false">X36+Y36</f>
        <v>720</v>
      </c>
      <c r="AA36" s="1" t="n">
        <v>277</v>
      </c>
      <c r="AB36" s="12"/>
    </row>
    <row r="37" customFormat="false" ht="13.8" hidden="false" customHeight="false" outlineLevel="0" collapsed="false">
      <c r="B37" s="2" t="n">
        <v>12217781</v>
      </c>
      <c r="C37" s="3" t="n">
        <v>0.654166666666667</v>
      </c>
      <c r="D37" s="4" t="n">
        <v>44554</v>
      </c>
      <c r="E37" s="1" t="s">
        <v>27</v>
      </c>
      <c r="F37" s="1" t="n">
        <v>6874</v>
      </c>
      <c r="G37" s="1" t="n">
        <v>2</v>
      </c>
      <c r="H37" s="1" t="n">
        <v>2</v>
      </c>
      <c r="J37" s="1" t="n">
        <v>2000</v>
      </c>
      <c r="K37" s="1" t="n">
        <v>1000</v>
      </c>
      <c r="X37" s="1" t="n">
        <v>1000</v>
      </c>
      <c r="Y37" s="1" t="n">
        <v>180</v>
      </c>
      <c r="Z37" s="1" t="n">
        <f aca="false">X37+Y37</f>
        <v>1180</v>
      </c>
      <c r="AA37" s="1" t="n">
        <v>277</v>
      </c>
    </row>
    <row r="38" customFormat="false" ht="13.8" hidden="false" customHeight="false" outlineLevel="0" collapsed="false">
      <c r="B38" s="2" t="n">
        <v>12217781</v>
      </c>
      <c r="C38" s="3" t="n">
        <v>0.550694444444444</v>
      </c>
      <c r="D38" s="4" t="n">
        <v>44549</v>
      </c>
      <c r="E38" s="1" t="s">
        <v>27</v>
      </c>
      <c r="F38" s="1" t="n">
        <v>6688</v>
      </c>
      <c r="G38" s="1" t="n">
        <v>10</v>
      </c>
      <c r="H38" s="1" t="n">
        <v>10</v>
      </c>
      <c r="J38" s="1" t="n">
        <v>14990</v>
      </c>
      <c r="K38" s="1" t="n">
        <v>7795</v>
      </c>
      <c r="X38" s="1" t="n">
        <v>7795</v>
      </c>
      <c r="Y38" s="1" t="n">
        <f aca="false">701.55+701.55</f>
        <v>1403.1</v>
      </c>
      <c r="Z38" s="1" t="n">
        <f aca="false">X38+Y38</f>
        <v>9198.1</v>
      </c>
      <c r="AA38" s="1" t="n">
        <v>277</v>
      </c>
    </row>
    <row r="39" customFormat="false" ht="13.8" hidden="false" customHeight="false" outlineLevel="0" collapsed="false">
      <c r="B39" s="2" t="n">
        <v>12234291</v>
      </c>
      <c r="C39" s="3" t="n">
        <v>0.909027777777778</v>
      </c>
      <c r="D39" s="4" t="n">
        <v>44607</v>
      </c>
      <c r="E39" s="1" t="s">
        <v>27</v>
      </c>
      <c r="F39" s="1" t="n">
        <v>6057</v>
      </c>
      <c r="G39" s="1" t="n">
        <v>1</v>
      </c>
      <c r="H39" s="1" t="n">
        <v>1</v>
      </c>
      <c r="J39" s="1" t="n">
        <v>3457</v>
      </c>
      <c r="K39" s="1" t="n">
        <v>1728.74</v>
      </c>
      <c r="X39" s="1" t="n">
        <v>1728.73</v>
      </c>
      <c r="Y39" s="1" t="n">
        <f aca="false">155.59+155.59</f>
        <v>311.18</v>
      </c>
      <c r="Z39" s="1" t="n">
        <f aca="false">X39+Y39</f>
        <v>2039.91</v>
      </c>
      <c r="AA39" s="1" t="n">
        <v>371</v>
      </c>
    </row>
    <row r="40" customFormat="false" ht="13.8" hidden="false" customHeight="false" outlineLevel="0" collapsed="false">
      <c r="B40" s="2" t="n">
        <v>12305701</v>
      </c>
      <c r="C40" s="3" t="n">
        <v>0.884027777777778</v>
      </c>
      <c r="D40" s="4" t="n">
        <v>44512</v>
      </c>
      <c r="E40" s="1" t="s">
        <v>27</v>
      </c>
      <c r="F40" s="1" t="n">
        <v>3252</v>
      </c>
      <c r="G40" s="1" t="n">
        <v>1</v>
      </c>
      <c r="H40" s="1" t="n">
        <v>1</v>
      </c>
      <c r="P40" s="1" t="n">
        <v>400</v>
      </c>
      <c r="Q40" s="1" t="n">
        <v>80</v>
      </c>
      <c r="X40" s="1" t="n">
        <v>320</v>
      </c>
      <c r="Y40" s="1" t="n">
        <v>64</v>
      </c>
      <c r="Z40" s="11" t="n">
        <f aca="false">X40+Y40</f>
        <v>384</v>
      </c>
      <c r="AA40" s="1" t="n">
        <v>277</v>
      </c>
    </row>
    <row r="41" customFormat="false" ht="13.8" hidden="false" customHeight="false" outlineLevel="0" collapsed="false">
      <c r="B41" s="2" t="n">
        <v>12305701</v>
      </c>
      <c r="C41" s="3" t="n">
        <v>0.844444444444444</v>
      </c>
      <c r="D41" s="4" t="n">
        <v>44512</v>
      </c>
      <c r="E41" s="1" t="s">
        <v>27</v>
      </c>
      <c r="F41" s="1" t="n">
        <v>3248</v>
      </c>
      <c r="G41" s="1" t="n">
        <v>2</v>
      </c>
      <c r="H41" s="1" t="n">
        <v>2</v>
      </c>
      <c r="P41" s="1" t="n">
        <f aca="false">Q41*5</f>
        <v>2500</v>
      </c>
      <c r="Q41" s="1" t="n">
        <v>500</v>
      </c>
      <c r="X41" s="1" t="n">
        <v>2000</v>
      </c>
      <c r="Y41" s="1" t="n">
        <v>400</v>
      </c>
      <c r="Z41" s="11" t="n">
        <f aca="false">X41+Y41</f>
        <v>2400</v>
      </c>
      <c r="AA41" s="1" t="n">
        <v>277</v>
      </c>
    </row>
    <row r="42" customFormat="false" ht="13.8" hidden="false" customHeight="false" outlineLevel="0" collapsed="false">
      <c r="B42" s="2" t="n">
        <v>12305701</v>
      </c>
      <c r="C42" s="3" t="n">
        <v>0.488888888888889</v>
      </c>
      <c r="D42" s="4" t="n">
        <v>44401</v>
      </c>
      <c r="E42" s="1" t="s">
        <v>28</v>
      </c>
      <c r="F42" s="1" t="n">
        <v>1695</v>
      </c>
      <c r="G42" s="1" t="n">
        <v>1</v>
      </c>
      <c r="H42" s="1" t="n">
        <v>1</v>
      </c>
      <c r="J42" s="12" t="n">
        <v>1150</v>
      </c>
      <c r="K42" s="12" t="n">
        <v>340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1"/>
      <c r="X42" s="11" t="n">
        <v>1360</v>
      </c>
      <c r="Y42" s="11" t="n">
        <f aca="false">122.4+122.4</f>
        <v>244.8</v>
      </c>
      <c r="Z42" s="11" t="n">
        <f aca="false">X42+Y42</f>
        <v>1604.8</v>
      </c>
      <c r="AA42" s="11" t="n">
        <v>177</v>
      </c>
    </row>
    <row r="43" customFormat="false" ht="13.8" hidden="false" customHeight="false" outlineLevel="0" collapsed="false">
      <c r="B43" s="2" t="n">
        <v>12305701</v>
      </c>
      <c r="C43" s="3" t="s">
        <v>35</v>
      </c>
      <c r="D43" s="4" t="n">
        <v>44401</v>
      </c>
      <c r="E43" s="1" t="s">
        <v>28</v>
      </c>
      <c r="F43" s="1" t="n">
        <v>1672</v>
      </c>
      <c r="G43" s="1" t="n">
        <v>1</v>
      </c>
      <c r="H43" s="1" t="n">
        <v>1</v>
      </c>
      <c r="J43" s="12" t="n">
        <v>1300</v>
      </c>
      <c r="K43" s="12" t="n">
        <v>260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1"/>
      <c r="X43" s="11" t="n">
        <v>1040</v>
      </c>
      <c r="Y43" s="11" t="n">
        <f aca="false">93.6+93.6</f>
        <v>187.2</v>
      </c>
      <c r="Z43" s="11" t="n">
        <f aca="false">X43+Y43</f>
        <v>1227.2</v>
      </c>
      <c r="AA43" s="11" t="n">
        <v>758</v>
      </c>
    </row>
    <row r="44" customFormat="false" ht="13.8" hidden="false" customHeight="false" outlineLevel="0" collapsed="false">
      <c r="B44" s="2" t="n">
        <v>12328501</v>
      </c>
      <c r="C44" s="3" t="n">
        <v>0.0708333333333333</v>
      </c>
      <c r="D44" s="4" t="n">
        <v>44423</v>
      </c>
      <c r="E44" s="1" t="s">
        <v>27</v>
      </c>
      <c r="F44" s="1" t="n">
        <v>6655</v>
      </c>
      <c r="G44" s="1" t="n">
        <v>3</v>
      </c>
      <c r="H44" s="1" t="n">
        <v>3</v>
      </c>
      <c r="J44" s="12" t="n">
        <v>4497</v>
      </c>
      <c r="K44" s="12" t="n">
        <v>899.4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 t="n">
        <v>3597.6</v>
      </c>
      <c r="Y44" s="12" t="n">
        <f aca="false">323.78+323.78</f>
        <v>647.56</v>
      </c>
      <c r="Z44" s="11" t="n">
        <f aca="false">X44+Y44</f>
        <v>4245.16</v>
      </c>
      <c r="AA44" s="13" t="s">
        <v>34</v>
      </c>
    </row>
    <row r="45" customFormat="false" ht="13.8" hidden="false" customHeight="false" outlineLevel="0" collapsed="false">
      <c r="B45" s="2" t="n">
        <v>12328501</v>
      </c>
      <c r="C45" s="3" t="n">
        <v>0.625</v>
      </c>
      <c r="D45" s="4" t="n">
        <v>44514</v>
      </c>
      <c r="E45" s="1" t="s">
        <v>27</v>
      </c>
      <c r="F45" s="1" t="n">
        <v>6325</v>
      </c>
      <c r="G45" s="1" t="n">
        <v>1</v>
      </c>
      <c r="H45" s="1" t="n">
        <v>1</v>
      </c>
      <c r="J45" s="1" t="n">
        <v>1499</v>
      </c>
      <c r="K45" s="1" t="n">
        <v>299.8</v>
      </c>
      <c r="X45" s="1" t="n">
        <v>1199.2</v>
      </c>
      <c r="Y45" s="1" t="n">
        <f aca="false">107.93+107.93</f>
        <v>215.86</v>
      </c>
      <c r="Z45" s="11" t="n">
        <f aca="false">X45+Y45</f>
        <v>1415.06</v>
      </c>
      <c r="AA45" s="1" t="n">
        <v>277</v>
      </c>
    </row>
    <row r="46" customFormat="false" ht="13.8" hidden="false" customHeight="false" outlineLevel="0" collapsed="false">
      <c r="B46" s="2" t="n">
        <v>12328501</v>
      </c>
      <c r="C46" s="3" t="n">
        <v>0.870138888888889</v>
      </c>
      <c r="D46" s="4" t="n">
        <v>44482</v>
      </c>
      <c r="E46" s="1" t="s">
        <v>27</v>
      </c>
      <c r="F46" s="1" t="n">
        <v>6035</v>
      </c>
      <c r="G46" s="1" t="n">
        <v>4</v>
      </c>
      <c r="H46" s="1" t="n">
        <v>4</v>
      </c>
      <c r="J46" s="12" t="n">
        <f aca="false">K46*4</f>
        <v>3650</v>
      </c>
      <c r="K46" s="12" t="n">
        <v>912.5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 t="n">
        <v>2737</v>
      </c>
      <c r="Y46" s="12" t="n">
        <f aca="false">246.38+246.38</f>
        <v>492.76</v>
      </c>
      <c r="Z46" s="11" t="n">
        <f aca="false">X46+Y46</f>
        <v>3229.76</v>
      </c>
      <c r="AA46" s="13" t="s">
        <v>31</v>
      </c>
    </row>
    <row r="47" customFormat="false" ht="13.8" hidden="false" customHeight="false" outlineLevel="0" collapsed="false">
      <c r="B47" s="2" t="n">
        <v>12353341</v>
      </c>
      <c r="C47" s="3" t="n">
        <v>0.355555555555556</v>
      </c>
      <c r="D47" s="4" t="n">
        <v>44470</v>
      </c>
      <c r="E47" s="1" t="s">
        <v>27</v>
      </c>
      <c r="F47" s="1" t="n">
        <v>6520</v>
      </c>
      <c r="G47" s="1" t="n">
        <v>2</v>
      </c>
      <c r="H47" s="1" t="n">
        <v>2</v>
      </c>
      <c r="J47" s="12" t="n">
        <v>2550</v>
      </c>
      <c r="K47" s="12" t="n">
        <v>1275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 t="n">
        <v>1975</v>
      </c>
      <c r="Y47" s="12" t="n">
        <f aca="false">177.75+177.75</f>
        <v>355.5</v>
      </c>
      <c r="Z47" s="11" t="n">
        <f aca="false">X47+Y47</f>
        <v>2330.5</v>
      </c>
      <c r="AA47" s="13" t="s">
        <v>31</v>
      </c>
    </row>
    <row r="48" customFormat="false" ht="13.8" hidden="false" customHeight="false" outlineLevel="0" collapsed="false">
      <c r="B48" s="2" t="n">
        <v>12355341</v>
      </c>
      <c r="C48" s="3" t="n">
        <v>0.354861111111111</v>
      </c>
      <c r="D48" s="4" t="n">
        <v>44451</v>
      </c>
      <c r="E48" s="1" t="s">
        <v>27</v>
      </c>
      <c r="F48" s="1" t="n">
        <v>6809</v>
      </c>
      <c r="G48" s="1" t="n">
        <v>3</v>
      </c>
      <c r="H48" s="1" t="n">
        <v>3</v>
      </c>
      <c r="J48" s="12" t="n">
        <f aca="false">150+1000+1300+575</f>
        <v>3025</v>
      </c>
      <c r="K48" s="12" t="n">
        <v>998.25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 t="n">
        <v>2026.75</v>
      </c>
      <c r="Y48" s="12" t="n">
        <f aca="false">182.41+182.41</f>
        <v>364.82</v>
      </c>
      <c r="Z48" s="11" t="n">
        <f aca="false">X48+Y48</f>
        <v>2391.57</v>
      </c>
      <c r="AA48" s="13" t="s">
        <v>29</v>
      </c>
    </row>
    <row r="49" customFormat="false" ht="13.8" hidden="false" customHeight="false" outlineLevel="0" collapsed="false">
      <c r="B49" s="2" t="n">
        <v>12397391</v>
      </c>
      <c r="C49" s="3" t="n">
        <v>0.859722222222222</v>
      </c>
      <c r="D49" s="4" t="n">
        <v>44479</v>
      </c>
      <c r="E49" s="1" t="s">
        <v>27</v>
      </c>
      <c r="F49" s="1" t="n">
        <v>6919</v>
      </c>
      <c r="G49" s="1" t="n">
        <v>3</v>
      </c>
      <c r="H49" s="1" t="n">
        <v>3</v>
      </c>
      <c r="J49" s="12" t="n">
        <v>3600</v>
      </c>
      <c r="K49" s="12" t="n">
        <v>1188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 t="n">
        <v>2412</v>
      </c>
      <c r="Y49" s="12" t="n">
        <f aca="false">217.08+217.08</f>
        <v>434.16</v>
      </c>
      <c r="Z49" s="11" t="n">
        <f aca="false">X49+Y49</f>
        <v>2846.16</v>
      </c>
      <c r="AA49" s="13" t="s">
        <v>31</v>
      </c>
    </row>
    <row r="50" customFormat="false" ht="13.8" hidden="false" customHeight="false" outlineLevel="0" collapsed="false">
      <c r="B50" s="2" t="n">
        <v>12397391</v>
      </c>
      <c r="C50" s="3" t="n">
        <v>0.868055555555555</v>
      </c>
      <c r="D50" s="4" t="n">
        <v>44551</v>
      </c>
      <c r="E50" s="1" t="s">
        <v>27</v>
      </c>
      <c r="F50" s="1" t="n">
        <v>6776</v>
      </c>
      <c r="G50" s="1" t="n">
        <v>8</v>
      </c>
      <c r="H50" s="1" t="n">
        <v>8</v>
      </c>
      <c r="J50" s="1" t="n">
        <v>8400</v>
      </c>
      <c r="K50" s="1" t="n">
        <v>4200</v>
      </c>
      <c r="L50" s="1" t="n">
        <v>700</v>
      </c>
      <c r="M50" s="1" t="n">
        <v>350</v>
      </c>
      <c r="X50" s="1" t="n">
        <v>4550</v>
      </c>
      <c r="Y50" s="1" t="n">
        <f aca="false">409+410</f>
        <v>819</v>
      </c>
      <c r="Z50" s="1" t="n">
        <f aca="false">X50+Y50</f>
        <v>5369</v>
      </c>
      <c r="AA50" s="1" t="n">
        <v>277</v>
      </c>
    </row>
    <row r="51" customFormat="false" ht="13.8" hidden="false" customHeight="false" outlineLevel="0" collapsed="false">
      <c r="B51" s="2" t="n">
        <v>12397391</v>
      </c>
      <c r="C51" s="3" t="n">
        <v>0.8625</v>
      </c>
      <c r="D51" s="4" t="n">
        <v>44558</v>
      </c>
      <c r="E51" s="1" t="s">
        <v>27</v>
      </c>
      <c r="F51" s="1" t="n">
        <v>6072</v>
      </c>
      <c r="G51" s="1" t="n">
        <v>7</v>
      </c>
      <c r="H51" s="1" t="n">
        <v>7</v>
      </c>
      <c r="J51" s="1" t="n">
        <v>7200</v>
      </c>
      <c r="K51" s="1" t="n">
        <v>3600</v>
      </c>
      <c r="L51" s="1" t="n">
        <v>1400</v>
      </c>
      <c r="M51" s="1" t="n">
        <v>700</v>
      </c>
      <c r="X51" s="1" t="n">
        <v>4300</v>
      </c>
      <c r="Y51" s="1" t="n">
        <f aca="false">387+387</f>
        <v>774</v>
      </c>
      <c r="Z51" s="1" t="n">
        <f aca="false">X51+Y51</f>
        <v>5074</v>
      </c>
      <c r="AA51" s="1" t="n">
        <v>277</v>
      </c>
    </row>
    <row r="52" customFormat="false" ht="13.8" hidden="false" customHeight="false" outlineLevel="0" collapsed="false">
      <c r="B52" s="2" t="n">
        <v>12397391</v>
      </c>
      <c r="C52" s="3" t="n">
        <v>0.8625</v>
      </c>
      <c r="D52" s="4" t="n">
        <v>44558</v>
      </c>
      <c r="E52" s="1" t="s">
        <v>30</v>
      </c>
      <c r="F52" s="1" t="n">
        <v>3785</v>
      </c>
      <c r="G52" s="1" t="n">
        <v>2</v>
      </c>
      <c r="H52" s="1" t="n">
        <v>2</v>
      </c>
      <c r="O52" s="1" t="n">
        <f aca="false">P52*2</f>
        <v>1345</v>
      </c>
      <c r="P52" s="1" t="n">
        <v>672.5</v>
      </c>
      <c r="X52" s="1" t="n">
        <v>672.5</v>
      </c>
      <c r="Y52" s="1" t="n">
        <v>134</v>
      </c>
      <c r="Z52" s="1" t="n">
        <f aca="false">X52+Y52</f>
        <v>806.5</v>
      </c>
      <c r="AA52" s="1" t="n">
        <v>366</v>
      </c>
    </row>
    <row r="53" customFormat="false" ht="13.8" hidden="false" customHeight="false" outlineLevel="0" collapsed="false">
      <c r="B53" s="2" t="n">
        <v>12398311</v>
      </c>
      <c r="C53" s="3" t="n">
        <v>0.563888888888889</v>
      </c>
      <c r="D53" s="4" t="n">
        <v>44504</v>
      </c>
      <c r="E53" s="1" t="s">
        <v>27</v>
      </c>
      <c r="F53" s="1" t="n">
        <v>6954</v>
      </c>
      <c r="G53" s="1" t="n">
        <v>2</v>
      </c>
      <c r="H53" s="1" t="n">
        <v>2</v>
      </c>
      <c r="J53" s="1" t="n">
        <v>2000</v>
      </c>
      <c r="K53" s="1" t="n">
        <v>1000</v>
      </c>
      <c r="X53" s="1" t="n">
        <v>1000</v>
      </c>
      <c r="Y53" s="1" t="n">
        <v>180</v>
      </c>
      <c r="Z53" s="11" t="n">
        <f aca="false">X53+Y53</f>
        <v>1180</v>
      </c>
      <c r="AA53" s="1" t="n">
        <v>277</v>
      </c>
    </row>
    <row r="54" customFormat="false" ht="13.8" hidden="false" customHeight="false" outlineLevel="0" collapsed="false">
      <c r="B54" s="2" t="n">
        <v>12405001</v>
      </c>
      <c r="C54" s="3" t="n">
        <v>0.340277777777778</v>
      </c>
      <c r="D54" s="4" t="n">
        <v>44408</v>
      </c>
      <c r="E54" s="1" t="s">
        <v>27</v>
      </c>
      <c r="F54" s="1" t="n">
        <v>2087</v>
      </c>
      <c r="G54" s="1" t="n">
        <v>1</v>
      </c>
      <c r="H54" s="1" t="n">
        <v>1</v>
      </c>
      <c r="J54" s="12" t="n">
        <v>650</v>
      </c>
      <c r="K54" s="12" t="n">
        <v>130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1"/>
      <c r="X54" s="11" t="n">
        <v>520</v>
      </c>
      <c r="Y54" s="11" t="n">
        <f aca="false">46.8+46.8</f>
        <v>93.6</v>
      </c>
      <c r="Z54" s="11" t="n">
        <f aca="false">X54+Y54</f>
        <v>613.6</v>
      </c>
      <c r="AA54" s="11" t="n">
        <v>759</v>
      </c>
    </row>
    <row r="55" customFormat="false" ht="13.8" hidden="false" customHeight="false" outlineLevel="0" collapsed="false">
      <c r="B55" s="2" t="n">
        <v>12406771</v>
      </c>
      <c r="C55" s="3" t="n">
        <v>0.766666666666667</v>
      </c>
      <c r="D55" s="4" t="n">
        <v>44479</v>
      </c>
      <c r="E55" s="1" t="s">
        <v>27</v>
      </c>
      <c r="F55" s="1" t="n">
        <v>6914</v>
      </c>
      <c r="G55" s="1" t="n">
        <v>1</v>
      </c>
      <c r="H55" s="1" t="n">
        <v>1</v>
      </c>
      <c r="J55" s="12" t="n">
        <v>425</v>
      </c>
      <c r="K55" s="12" t="n">
        <v>212.5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 t="n">
        <v>212.5</v>
      </c>
      <c r="Y55" s="12" t="n">
        <v>38.26</v>
      </c>
      <c r="Z55" s="11" t="n">
        <f aca="false">X55+Y55</f>
        <v>250.76</v>
      </c>
      <c r="AA55" s="13" t="s">
        <v>31</v>
      </c>
    </row>
    <row r="56" customFormat="false" ht="13.8" hidden="false" customHeight="false" outlineLevel="0" collapsed="false">
      <c r="B56" s="2" t="n">
        <v>12415391</v>
      </c>
      <c r="C56" s="3" t="n">
        <v>0.102777777777778</v>
      </c>
      <c r="D56" s="4" t="n">
        <v>44450</v>
      </c>
      <c r="E56" s="1" t="s">
        <v>27</v>
      </c>
      <c r="F56" s="1" t="n">
        <v>6749</v>
      </c>
      <c r="G56" s="1" t="n">
        <v>2</v>
      </c>
      <c r="H56" s="1" t="n">
        <v>2</v>
      </c>
      <c r="J56" s="12" t="n">
        <v>2598</v>
      </c>
      <c r="K56" s="12" t="n">
        <v>1299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 t="n">
        <v>1299</v>
      </c>
      <c r="Y56" s="12" t="n">
        <f aca="false">116.91+116.91</f>
        <v>233.82</v>
      </c>
      <c r="Z56" s="11" t="n">
        <f aca="false">X56+Y56</f>
        <v>1532.82</v>
      </c>
      <c r="AA56" s="13" t="s">
        <v>31</v>
      </c>
    </row>
    <row r="57" customFormat="false" ht="13.8" hidden="false" customHeight="false" outlineLevel="0" collapsed="false">
      <c r="B57" s="2" t="n">
        <v>12417911</v>
      </c>
      <c r="C57" s="3" t="n">
        <v>0.0944444444444444</v>
      </c>
      <c r="D57" s="4" t="n">
        <v>44465</v>
      </c>
      <c r="E57" s="1" t="s">
        <v>27</v>
      </c>
      <c r="F57" s="1" t="n">
        <v>6304</v>
      </c>
      <c r="G57" s="1" t="n">
        <v>4</v>
      </c>
      <c r="H57" s="1" t="n">
        <v>4</v>
      </c>
      <c r="J57" s="12" t="n">
        <v>5996</v>
      </c>
      <c r="K57" s="12" t="n">
        <v>1199.2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 t="n">
        <v>4796</v>
      </c>
      <c r="Y57" s="12" t="n">
        <f aca="false">431.71+431.71</f>
        <v>863.42</v>
      </c>
      <c r="Z57" s="11" t="n">
        <f aca="false">X57+Y57</f>
        <v>5659.42</v>
      </c>
      <c r="AA57" s="13" t="s">
        <v>31</v>
      </c>
    </row>
    <row r="58" customFormat="false" ht="13.8" hidden="false" customHeight="false" outlineLevel="0" collapsed="false">
      <c r="B58" s="2" t="n">
        <v>12436771</v>
      </c>
      <c r="C58" s="3" t="n">
        <v>0.766666666666667</v>
      </c>
      <c r="D58" s="4" t="n">
        <v>44479</v>
      </c>
      <c r="E58" s="1" t="s">
        <v>27</v>
      </c>
      <c r="F58" s="1" t="n">
        <v>6914</v>
      </c>
      <c r="G58" s="1" t="n">
        <v>1</v>
      </c>
      <c r="H58" s="1" t="n">
        <v>1</v>
      </c>
      <c r="J58" s="12" t="n">
        <v>425</v>
      </c>
      <c r="K58" s="12" t="n">
        <v>212.5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 t="n">
        <v>212.5</v>
      </c>
      <c r="Y58" s="12" t="n">
        <f aca="false">19.13+19.13</f>
        <v>38.26</v>
      </c>
      <c r="Z58" s="11" t="n">
        <f aca="false">X58+Y58</f>
        <v>250.76</v>
      </c>
      <c r="AA58" s="13" t="s">
        <v>31</v>
      </c>
    </row>
    <row r="59" customFormat="false" ht="13.8" hidden="false" customHeight="false" outlineLevel="0" collapsed="false">
      <c r="B59" s="2" t="n">
        <v>12441031</v>
      </c>
      <c r="C59" s="3" t="n">
        <v>0.809027777777778</v>
      </c>
      <c r="D59" s="4" t="n">
        <v>44508</v>
      </c>
      <c r="E59" s="1" t="s">
        <v>27</v>
      </c>
      <c r="F59" s="1" t="n">
        <v>6123</v>
      </c>
      <c r="G59" s="1" t="n">
        <v>2</v>
      </c>
      <c r="H59" s="1" t="n">
        <v>2</v>
      </c>
      <c r="J59" s="1" t="n">
        <v>425</v>
      </c>
      <c r="K59" s="1" t="n">
        <v>212.5</v>
      </c>
      <c r="X59" s="1" t="n">
        <v>212.5</v>
      </c>
      <c r="Y59" s="1" t="n">
        <f aca="false">19.13+19.13</f>
        <v>38.26</v>
      </c>
      <c r="Z59" s="11" t="n">
        <f aca="false">X59+Y59</f>
        <v>250.76</v>
      </c>
      <c r="AA59" s="1" t="n">
        <v>277</v>
      </c>
    </row>
    <row r="60" customFormat="false" ht="13.8" hidden="false" customHeight="false" outlineLevel="0" collapsed="false">
      <c r="B60" s="2" t="n">
        <v>12441031</v>
      </c>
      <c r="C60" s="3" t="n">
        <v>0.79375</v>
      </c>
      <c r="D60" s="4" t="n">
        <v>44551</v>
      </c>
      <c r="E60" s="1" t="s">
        <v>30</v>
      </c>
      <c r="F60" s="1" t="n">
        <v>3690</v>
      </c>
      <c r="G60" s="1" t="n">
        <v>3</v>
      </c>
      <c r="H60" s="1" t="n">
        <v>3</v>
      </c>
      <c r="O60" s="1" t="n">
        <v>4050</v>
      </c>
      <c r="P60" s="1" t="n">
        <v>2025</v>
      </c>
      <c r="X60" s="1" t="n">
        <v>2025</v>
      </c>
      <c r="Y60" s="1" t="n">
        <v>405</v>
      </c>
      <c r="Z60" s="1" t="n">
        <f aca="false">X60+Y60</f>
        <v>2430</v>
      </c>
      <c r="AA60" s="1" t="n">
        <v>362</v>
      </c>
    </row>
    <row r="61" customFormat="false" ht="13.8" hidden="false" customHeight="false" outlineLevel="0" collapsed="false">
      <c r="B61" s="2" t="n">
        <v>12441053</v>
      </c>
      <c r="C61" s="3" t="n">
        <v>0.794444444444444</v>
      </c>
      <c r="D61" s="4" t="n">
        <v>44551</v>
      </c>
      <c r="E61" s="1" t="s">
        <v>27</v>
      </c>
      <c r="F61" s="1" t="n">
        <v>6772</v>
      </c>
      <c r="G61" s="1" t="n">
        <v>1</v>
      </c>
      <c r="H61" s="1" t="n">
        <v>1</v>
      </c>
      <c r="J61" s="1" t="n">
        <f aca="false">425+150</f>
        <v>575</v>
      </c>
      <c r="K61" s="1" t="n">
        <v>189.75</v>
      </c>
      <c r="X61" s="1" t="n">
        <v>385.25</v>
      </c>
      <c r="Y61" s="1" t="n">
        <f aca="false">34.67+34.67</f>
        <v>69.34</v>
      </c>
      <c r="Z61" s="1" t="n">
        <f aca="false">X61+Y61</f>
        <v>454.59</v>
      </c>
      <c r="AA61" s="1" t="n">
        <v>362</v>
      </c>
    </row>
    <row r="62" customFormat="false" ht="13.8" hidden="false" customHeight="false" outlineLevel="0" collapsed="false">
      <c r="B62" s="2" t="n">
        <v>12443791</v>
      </c>
      <c r="C62" s="3" t="n">
        <v>0.883333333333333</v>
      </c>
      <c r="D62" s="4" t="n">
        <v>44558</v>
      </c>
      <c r="E62" s="1" t="s">
        <v>30</v>
      </c>
      <c r="F62" s="1" t="n">
        <v>6086</v>
      </c>
      <c r="G62" s="1" t="n">
        <v>2</v>
      </c>
      <c r="H62" s="1" t="n">
        <v>2</v>
      </c>
      <c r="J62" s="1" t="n">
        <v>3600</v>
      </c>
      <c r="K62" s="1" t="n">
        <v>1800</v>
      </c>
      <c r="X62" s="1" t="n">
        <v>1800</v>
      </c>
      <c r="Y62" s="1" t="n">
        <v>324</v>
      </c>
      <c r="Z62" s="1" t="n">
        <f aca="false">X62+Y62</f>
        <v>2124</v>
      </c>
      <c r="AA62" s="1" t="n">
        <v>277</v>
      </c>
    </row>
    <row r="63" customFormat="false" ht="13.8" hidden="false" customHeight="false" outlineLevel="0" collapsed="false">
      <c r="B63" s="2" t="n">
        <v>12443791</v>
      </c>
      <c r="C63" s="3" t="n">
        <v>0.94375</v>
      </c>
      <c r="D63" s="4" t="n">
        <v>44558</v>
      </c>
      <c r="E63" s="1" t="s">
        <v>30</v>
      </c>
      <c r="F63" s="1" t="n">
        <v>3796</v>
      </c>
      <c r="G63" s="1" t="n">
        <v>3</v>
      </c>
      <c r="H63" s="1" t="n">
        <v>3</v>
      </c>
      <c r="O63" s="1" t="n">
        <v>3960</v>
      </c>
      <c r="P63" s="1" t="n">
        <v>1980</v>
      </c>
      <c r="X63" s="1" t="n">
        <v>1980</v>
      </c>
      <c r="Y63" s="1" t="n">
        <v>396</v>
      </c>
      <c r="Z63" s="1" t="n">
        <f aca="false">X63+Y63</f>
        <v>2376</v>
      </c>
      <c r="AA63" s="1" t="n">
        <v>277</v>
      </c>
    </row>
    <row r="64" customFormat="false" ht="13.8" hidden="false" customHeight="false" outlineLevel="0" collapsed="false">
      <c r="B64" s="2" t="n">
        <v>12446471</v>
      </c>
      <c r="C64" s="3" t="n">
        <v>0.915972222222222</v>
      </c>
      <c r="D64" s="4" t="n">
        <v>44544</v>
      </c>
      <c r="E64" s="1" t="s">
        <v>30</v>
      </c>
      <c r="F64" s="1" t="n">
        <v>3601</v>
      </c>
      <c r="G64" s="1" t="n">
        <v>1</v>
      </c>
      <c r="H64" s="1" t="n">
        <v>1</v>
      </c>
      <c r="O64" s="1" t="n">
        <v>1800</v>
      </c>
      <c r="P64" s="1" t="n">
        <v>900</v>
      </c>
      <c r="X64" s="1" t="n">
        <v>900</v>
      </c>
      <c r="Y64" s="1" t="n">
        <v>180</v>
      </c>
      <c r="Z64" s="1" t="n">
        <f aca="false">X64+Y64</f>
        <v>1080</v>
      </c>
      <c r="AA64" s="1" t="n">
        <v>371</v>
      </c>
    </row>
    <row r="65" customFormat="false" ht="13.8" hidden="false" customHeight="false" outlineLevel="0" collapsed="false">
      <c r="B65" s="2" t="n">
        <v>12505701</v>
      </c>
      <c r="C65" s="3" t="n">
        <v>0.398611111111111</v>
      </c>
      <c r="D65" s="4" t="n">
        <v>44415</v>
      </c>
      <c r="E65" s="1" t="s">
        <v>28</v>
      </c>
      <c r="F65" s="1" t="n">
        <v>2674</v>
      </c>
      <c r="G65" s="1" t="n">
        <v>1</v>
      </c>
      <c r="H65" s="1" t="n">
        <v>1</v>
      </c>
      <c r="J65" s="12" t="n">
        <v>650</v>
      </c>
      <c r="K65" s="12" t="n">
        <v>130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 t="n">
        <v>520</v>
      </c>
      <c r="Y65" s="12" t="n">
        <f aca="false">46.8+46.8</f>
        <v>93.6</v>
      </c>
      <c r="Z65" s="11" t="n">
        <f aca="false">X65+Y65</f>
        <v>613.6</v>
      </c>
      <c r="AA65" s="13" t="s">
        <v>33</v>
      </c>
    </row>
    <row r="66" customFormat="false" ht="13.8" hidden="false" customHeight="false" outlineLevel="0" collapsed="false">
      <c r="B66" s="2" t="n">
        <v>12522381</v>
      </c>
      <c r="C66" s="3" t="n">
        <v>0.586111111111111</v>
      </c>
      <c r="D66" s="4" t="n">
        <v>44499</v>
      </c>
      <c r="E66" s="1" t="s">
        <v>27</v>
      </c>
      <c r="F66" s="1" t="n">
        <v>6771</v>
      </c>
      <c r="G66" s="1" t="n">
        <v>10</v>
      </c>
      <c r="H66" s="1" t="n">
        <v>10</v>
      </c>
      <c r="J66" s="1" t="n">
        <v>12990</v>
      </c>
      <c r="K66" s="1" t="n">
        <v>6495</v>
      </c>
      <c r="X66" s="1" t="n">
        <v>6495</v>
      </c>
      <c r="Y66" s="1" t="n">
        <f aca="false">584.55+584.55</f>
        <v>1169.1</v>
      </c>
      <c r="Z66" s="11" t="n">
        <f aca="false">X66+Y66</f>
        <v>7664.1</v>
      </c>
      <c r="AA66" s="1" t="n">
        <v>277</v>
      </c>
    </row>
    <row r="67" customFormat="false" ht="13.8" hidden="false" customHeight="false" outlineLevel="0" collapsed="false">
      <c r="B67" s="2" t="n">
        <v>12531421</v>
      </c>
      <c r="C67" s="3" t="n">
        <v>0.599305555555556</v>
      </c>
      <c r="D67" s="4" t="n">
        <v>44499</v>
      </c>
      <c r="E67" s="1" t="s">
        <v>27</v>
      </c>
      <c r="F67" s="1" t="n">
        <v>3142</v>
      </c>
      <c r="G67" s="1" t="n">
        <v>1</v>
      </c>
      <c r="H67" s="1" t="n">
        <v>1</v>
      </c>
      <c r="P67" s="1" t="n">
        <v>360</v>
      </c>
      <c r="Q67" s="1" t="n">
        <v>60</v>
      </c>
      <c r="X67" s="1" t="n">
        <v>240</v>
      </c>
      <c r="Y67" s="1" t="n">
        <v>48</v>
      </c>
      <c r="Z67" s="11" t="n">
        <f aca="false">X67+Y67</f>
        <v>288</v>
      </c>
      <c r="AA67" s="1" t="n">
        <v>277</v>
      </c>
    </row>
    <row r="68" customFormat="false" ht="13.8" hidden="false" customHeight="false" outlineLevel="0" collapsed="false">
      <c r="B68" s="2" t="n">
        <v>12534851</v>
      </c>
      <c r="C68" s="3" t="n">
        <v>0.6375</v>
      </c>
      <c r="D68" s="4" t="n">
        <v>44563</v>
      </c>
      <c r="E68" s="1" t="s">
        <v>27</v>
      </c>
      <c r="F68" s="1" t="n">
        <v>6287</v>
      </c>
      <c r="G68" s="1" t="n">
        <v>1</v>
      </c>
      <c r="H68" s="1" t="n">
        <v>1</v>
      </c>
      <c r="J68" s="1" t="n">
        <v>2998</v>
      </c>
      <c r="K68" s="1" t="n">
        <v>599.6</v>
      </c>
      <c r="X68" s="1" t="n">
        <v>2398</v>
      </c>
      <c r="Y68" s="1" t="n">
        <f aca="false">215.86+215.86</f>
        <v>431.72</v>
      </c>
      <c r="Z68" s="1" t="n">
        <f aca="false">X68+Y68</f>
        <v>2829.72</v>
      </c>
      <c r="AA68" s="1" t="n">
        <v>371</v>
      </c>
    </row>
    <row r="69" customFormat="false" ht="13.8" hidden="false" customHeight="false" outlineLevel="0" collapsed="false">
      <c r="B69" s="2" t="n">
        <v>12534851</v>
      </c>
      <c r="C69" s="3" t="n">
        <v>0.93125</v>
      </c>
      <c r="D69" s="4" t="n">
        <v>44533</v>
      </c>
      <c r="E69" s="1" t="s">
        <v>27</v>
      </c>
      <c r="F69" s="1" t="n">
        <v>6079</v>
      </c>
      <c r="G69" s="1" t="n">
        <v>2</v>
      </c>
      <c r="H69" s="1" t="n">
        <v>2</v>
      </c>
      <c r="J69" s="1" t="n">
        <f aca="false">850+575+125</f>
        <v>1550</v>
      </c>
      <c r="K69" s="1" t="n">
        <v>511.5</v>
      </c>
      <c r="L69" s="1" t="n">
        <v>175</v>
      </c>
      <c r="M69" s="1" t="n">
        <v>57.75</v>
      </c>
      <c r="X69" s="1" t="n">
        <v>1155.75</v>
      </c>
      <c r="Y69" s="1" t="n">
        <f aca="false">104.02+104.02</f>
        <v>208.04</v>
      </c>
      <c r="Z69" s="1" t="n">
        <f aca="false">X69+Y69</f>
        <v>1363.79</v>
      </c>
      <c r="AA69" s="1" t="n">
        <v>277</v>
      </c>
    </row>
    <row r="70" customFormat="false" ht="13.8" hidden="false" customHeight="false" outlineLevel="0" collapsed="false">
      <c r="B70" s="2" t="n">
        <v>12534851</v>
      </c>
      <c r="C70" s="3" t="n">
        <v>0.588888888888889</v>
      </c>
      <c r="D70" s="4" t="n">
        <v>44533</v>
      </c>
      <c r="E70" s="1" t="s">
        <v>27</v>
      </c>
      <c r="F70" s="1" t="n">
        <v>6050</v>
      </c>
      <c r="G70" s="1" t="n">
        <v>3</v>
      </c>
      <c r="H70" s="1" t="n">
        <v>3</v>
      </c>
      <c r="J70" s="1" t="n">
        <v>3000</v>
      </c>
      <c r="K70" s="1" t="n">
        <v>990</v>
      </c>
      <c r="X70" s="1" t="n">
        <v>2010</v>
      </c>
      <c r="Y70" s="1" t="n">
        <f aca="false">180.9+180.9</f>
        <v>361.8</v>
      </c>
      <c r="Z70" s="1" t="n">
        <f aca="false">X70+Y70</f>
        <v>2371.8</v>
      </c>
      <c r="AA70" s="1" t="n">
        <v>277</v>
      </c>
    </row>
    <row r="71" customFormat="false" ht="13.8" hidden="false" customHeight="false" outlineLevel="0" collapsed="false">
      <c r="B71" s="2" t="n">
        <v>12548111</v>
      </c>
      <c r="C71" s="3" t="n">
        <v>0.969444444444444</v>
      </c>
      <c r="D71" s="4" t="n">
        <v>44526</v>
      </c>
      <c r="E71" s="1" t="s">
        <v>27</v>
      </c>
      <c r="F71" s="1" t="n">
        <v>6793</v>
      </c>
      <c r="G71" s="1" t="n">
        <v>2</v>
      </c>
      <c r="H71" s="1" t="n">
        <v>2</v>
      </c>
      <c r="J71" s="1" t="n">
        <v>1200</v>
      </c>
      <c r="K71" s="1" t="n">
        <v>600</v>
      </c>
      <c r="X71" s="1" t="n">
        <v>600</v>
      </c>
      <c r="Y71" s="1" t="n">
        <v>108</v>
      </c>
      <c r="Z71" s="11" t="n">
        <f aca="false">X71+Y71</f>
        <v>708</v>
      </c>
      <c r="AA71" s="1" t="n">
        <v>277</v>
      </c>
    </row>
    <row r="72" customFormat="false" ht="13.8" hidden="false" customHeight="false" outlineLevel="0" collapsed="false">
      <c r="B72" s="2" t="n">
        <v>12548111</v>
      </c>
      <c r="C72" s="3" t="n">
        <v>0.919444444444444</v>
      </c>
      <c r="D72" s="4" t="n">
        <v>44525</v>
      </c>
      <c r="E72" s="1" t="s">
        <v>27</v>
      </c>
      <c r="F72" s="1" t="n">
        <v>6743</v>
      </c>
      <c r="G72" s="1" t="n">
        <v>1</v>
      </c>
      <c r="H72" s="1" t="n">
        <v>1</v>
      </c>
      <c r="J72" s="1" t="n">
        <v>1350</v>
      </c>
      <c r="K72" s="1" t="n">
        <v>675</v>
      </c>
      <c r="X72" s="1" t="n">
        <v>675</v>
      </c>
      <c r="Y72" s="1" t="n">
        <f aca="false">60.75+60.75</f>
        <v>121.5</v>
      </c>
      <c r="Z72" s="11" t="n">
        <f aca="false">X72+Y72</f>
        <v>796.5</v>
      </c>
      <c r="AA72" s="1" t="n">
        <v>277</v>
      </c>
    </row>
    <row r="73" customFormat="false" ht="13.8" hidden="false" customHeight="false" outlineLevel="0" collapsed="false">
      <c r="B73" s="2" t="n">
        <v>12564331</v>
      </c>
      <c r="C73" s="3" t="n">
        <v>0.845833333333333</v>
      </c>
      <c r="D73" s="4" t="n">
        <v>44539</v>
      </c>
      <c r="E73" s="1" t="s">
        <v>27</v>
      </c>
      <c r="F73" s="1" t="n">
        <v>6311</v>
      </c>
      <c r="G73" s="1" t="n">
        <v>12</v>
      </c>
      <c r="H73" s="1" t="n">
        <v>12</v>
      </c>
      <c r="J73" s="1" t="n">
        <v>2400</v>
      </c>
      <c r="K73" s="1" t="n">
        <v>1200</v>
      </c>
      <c r="L73" s="1" t="n">
        <v>1225</v>
      </c>
      <c r="M73" s="1" t="n">
        <v>612.5</v>
      </c>
      <c r="X73" s="1" t="n">
        <v>1812.5</v>
      </c>
      <c r="Y73" s="1" t="n">
        <f aca="false">163.13+163.13</f>
        <v>326.26</v>
      </c>
      <c r="Z73" s="1" t="n">
        <f aca="false">X73+Y73</f>
        <v>2138.76</v>
      </c>
      <c r="AA73" s="1" t="n">
        <v>277</v>
      </c>
    </row>
    <row r="74" customFormat="false" ht="13.8" hidden="false" customHeight="false" outlineLevel="0" collapsed="false">
      <c r="B74" s="2" t="n">
        <v>12564331</v>
      </c>
      <c r="C74" s="3" t="n">
        <v>0.985416666666667</v>
      </c>
      <c r="D74" s="4" t="n">
        <v>44539</v>
      </c>
      <c r="E74" s="1" t="s">
        <v>30</v>
      </c>
      <c r="F74" s="1" t="n">
        <v>3558</v>
      </c>
      <c r="G74" s="1" t="n">
        <v>2</v>
      </c>
      <c r="H74" s="1" t="n">
        <v>2</v>
      </c>
      <c r="O74" s="1" t="n">
        <f aca="false">P74*5</f>
        <v>3475</v>
      </c>
      <c r="P74" s="1" t="n">
        <f aca="false">355+340</f>
        <v>695</v>
      </c>
      <c r="X74" s="1" t="n">
        <v>2780</v>
      </c>
      <c r="Y74" s="1" t="n">
        <v>556</v>
      </c>
      <c r="Z74" s="1" t="n">
        <f aca="false">X74+Y74</f>
        <v>3336</v>
      </c>
      <c r="AA74" s="1" t="n">
        <v>369</v>
      </c>
    </row>
    <row r="75" customFormat="false" ht="13.8" hidden="false" customHeight="false" outlineLevel="0" collapsed="false">
      <c r="B75" s="2" t="n">
        <v>12564331</v>
      </c>
      <c r="C75" s="3" t="n">
        <v>0.985416666666667</v>
      </c>
      <c r="D75" s="4" t="n">
        <v>44539</v>
      </c>
      <c r="E75" s="1" t="s">
        <v>30</v>
      </c>
      <c r="F75" s="1" t="n">
        <v>3557</v>
      </c>
      <c r="G75" s="1" t="n">
        <v>9</v>
      </c>
      <c r="H75" s="1" t="n">
        <v>9</v>
      </c>
      <c r="O75" s="1" t="n">
        <v>10400</v>
      </c>
      <c r="P75" s="1" t="n">
        <v>5200</v>
      </c>
      <c r="X75" s="1" t="n">
        <v>5200</v>
      </c>
      <c r="Y75" s="1" t="n">
        <v>1040</v>
      </c>
      <c r="Z75" s="1" t="n">
        <f aca="false">X75+Y75</f>
        <v>6240</v>
      </c>
      <c r="AA75" s="1" t="n">
        <v>369</v>
      </c>
    </row>
    <row r="76" customFormat="false" ht="13.8" hidden="false" customHeight="false" outlineLevel="0" collapsed="false">
      <c r="B76" s="2" t="n">
        <v>12567831</v>
      </c>
      <c r="C76" s="3" t="n">
        <v>0.863194444444444</v>
      </c>
      <c r="D76" s="4" t="n">
        <v>44570</v>
      </c>
      <c r="E76" s="1" t="s">
        <v>27</v>
      </c>
      <c r="F76" s="1" t="n">
        <v>6480</v>
      </c>
      <c r="G76" s="1" t="n">
        <v>5</v>
      </c>
      <c r="H76" s="1" t="n">
        <v>5</v>
      </c>
      <c r="J76" s="1" t="n">
        <f aca="false">K76*2</f>
        <v>6275</v>
      </c>
      <c r="K76" s="1" t="n">
        <v>3137.5</v>
      </c>
      <c r="L76" s="1" t="n">
        <v>350</v>
      </c>
      <c r="M76" s="1" t="n">
        <v>70</v>
      </c>
      <c r="X76" s="1" t="n">
        <v>3417.5</v>
      </c>
      <c r="Y76" s="1" t="n">
        <f aca="false">307.58+307.58</f>
        <v>615.16</v>
      </c>
      <c r="Z76" s="1" t="n">
        <f aca="false">X76+Y76</f>
        <v>4032.66</v>
      </c>
      <c r="AA76" s="1" t="n">
        <v>371</v>
      </c>
    </row>
    <row r="77" customFormat="false" ht="13.8" hidden="false" customHeight="false" outlineLevel="0" collapsed="false">
      <c r="B77" s="2" t="n">
        <v>12575881</v>
      </c>
      <c r="C77" s="3" t="n">
        <v>0.539583333333333</v>
      </c>
      <c r="D77" s="4" t="n">
        <v>44472</v>
      </c>
      <c r="E77" s="1" t="s">
        <v>27</v>
      </c>
      <c r="F77" s="1" t="n">
        <v>6592</v>
      </c>
      <c r="G77" s="1" t="n">
        <v>2</v>
      </c>
      <c r="H77" s="1" t="n">
        <v>2</v>
      </c>
      <c r="J77" s="12" t="n">
        <v>2998</v>
      </c>
      <c r="K77" s="12" t="n">
        <v>1499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 t="n">
        <v>1499</v>
      </c>
      <c r="Y77" s="12" t="n">
        <f aca="false">134.91+134.91</f>
        <v>269.82</v>
      </c>
      <c r="Z77" s="11" t="n">
        <f aca="false">X77+Y77</f>
        <v>1768.82</v>
      </c>
      <c r="AA77" s="13" t="s">
        <v>31</v>
      </c>
    </row>
    <row r="78" customFormat="false" ht="13.8" hidden="false" customHeight="false" outlineLevel="0" collapsed="false">
      <c r="B78" s="2" t="n">
        <v>12575881</v>
      </c>
      <c r="C78" s="3" t="n">
        <v>0.307638888888889</v>
      </c>
      <c r="D78" s="4" t="n">
        <v>44443</v>
      </c>
      <c r="E78" s="1" t="s">
        <v>27</v>
      </c>
      <c r="F78" s="1" t="n">
        <v>6477</v>
      </c>
      <c r="G78" s="1" t="n">
        <v>2</v>
      </c>
      <c r="H78" s="1" t="n">
        <v>2</v>
      </c>
      <c r="J78" s="12" t="n">
        <v>3600</v>
      </c>
      <c r="K78" s="12" t="n">
        <v>1188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 t="n">
        <v>2412</v>
      </c>
      <c r="Y78" s="12" t="n">
        <f aca="false">217.08+217.08</f>
        <v>434.16</v>
      </c>
      <c r="Z78" s="11" t="n">
        <f aca="false">X78+Y78</f>
        <v>2846.16</v>
      </c>
      <c r="AA78" s="13" t="s">
        <v>29</v>
      </c>
    </row>
    <row r="79" customFormat="false" ht="13.8" hidden="false" customHeight="false" outlineLevel="0" collapsed="false">
      <c r="B79" s="2" t="n">
        <v>12575881</v>
      </c>
      <c r="C79" s="3" t="n">
        <v>0.827083333333333</v>
      </c>
      <c r="D79" s="4" t="n">
        <v>44542</v>
      </c>
      <c r="E79" s="1" t="s">
        <v>27</v>
      </c>
      <c r="F79" s="1" t="n">
        <v>6431</v>
      </c>
      <c r="G79" s="1" t="n">
        <v>3</v>
      </c>
      <c r="H79" s="1" t="n">
        <v>3</v>
      </c>
      <c r="J79" s="1" t="n">
        <v>3600</v>
      </c>
      <c r="K79" s="1" t="n">
        <v>1188</v>
      </c>
      <c r="X79" s="1" t="n">
        <v>1200</v>
      </c>
      <c r="Y79" s="1" t="n">
        <f aca="false">108+108</f>
        <v>216</v>
      </c>
      <c r="Z79" s="1" t="n">
        <f aca="false">X79+Y79</f>
        <v>1416</v>
      </c>
      <c r="AA79" s="1" t="n">
        <v>330</v>
      </c>
    </row>
    <row r="80" customFormat="false" ht="13.8" hidden="false" customHeight="false" outlineLevel="0" collapsed="false">
      <c r="B80" s="2" t="n">
        <v>12575881</v>
      </c>
      <c r="C80" s="3" t="n">
        <v>0.533333333333333</v>
      </c>
      <c r="D80" s="4" t="n">
        <v>44415</v>
      </c>
      <c r="E80" s="1" t="s">
        <v>27</v>
      </c>
      <c r="F80" s="1" t="n">
        <v>6417</v>
      </c>
      <c r="G80" s="1" t="n">
        <v>2</v>
      </c>
      <c r="H80" s="1" t="n">
        <v>2</v>
      </c>
      <c r="J80" s="12" t="n">
        <v>2598</v>
      </c>
      <c r="K80" s="12" t="n">
        <v>1299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 t="n">
        <v>1299</v>
      </c>
      <c r="Y80" s="12" t="n">
        <f aca="false">116.91+116.91</f>
        <v>233.82</v>
      </c>
      <c r="Z80" s="11" t="n">
        <f aca="false">X80+Y80</f>
        <v>1532.82</v>
      </c>
      <c r="AA80" s="13" t="s">
        <v>33</v>
      </c>
    </row>
    <row r="81" customFormat="false" ht="13.8" hidden="false" customHeight="false" outlineLevel="0" collapsed="false">
      <c r="B81" s="2" t="n">
        <v>12575881</v>
      </c>
      <c r="C81" s="3" t="n">
        <v>0.0819444444444444</v>
      </c>
      <c r="D81" s="4" t="n">
        <v>44435</v>
      </c>
      <c r="E81" s="1" t="s">
        <v>27</v>
      </c>
      <c r="F81" s="1" t="n">
        <v>6201</v>
      </c>
      <c r="G81" s="1" t="n">
        <v>1</v>
      </c>
      <c r="H81" s="1" t="n">
        <v>1</v>
      </c>
      <c r="J81" s="12" t="n">
        <v>1499</v>
      </c>
      <c r="K81" s="12" t="n">
        <v>749.5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 t="n">
        <v>749.5</v>
      </c>
      <c r="Y81" s="12" t="n">
        <f aca="false">67.46+67.46</f>
        <v>134.92</v>
      </c>
      <c r="Z81" s="11" t="n">
        <f aca="false">X81+Y81</f>
        <v>884.42</v>
      </c>
      <c r="AA81" s="13" t="s">
        <v>31</v>
      </c>
    </row>
    <row r="82" customFormat="false" ht="13.8" hidden="false" customHeight="false" outlineLevel="0" collapsed="false">
      <c r="B82" s="2" t="n">
        <v>12575881</v>
      </c>
      <c r="C82" s="3" t="n">
        <v>0.602083333333333</v>
      </c>
      <c r="D82" s="4" t="n">
        <v>44534</v>
      </c>
      <c r="E82" s="1" t="s">
        <v>27</v>
      </c>
      <c r="F82" s="1" t="n">
        <v>6099</v>
      </c>
      <c r="G82" s="1" t="n">
        <v>1</v>
      </c>
      <c r="H82" s="1" t="n">
        <v>1</v>
      </c>
      <c r="J82" s="1" t="n">
        <v>1299</v>
      </c>
      <c r="K82" s="1" t="n">
        <v>259.8</v>
      </c>
      <c r="X82" s="1" t="n">
        <v>1039</v>
      </c>
      <c r="Y82" s="1" t="n">
        <f aca="false">93.53+93.53</f>
        <v>187.06</v>
      </c>
      <c r="Z82" s="1" t="n">
        <f aca="false">X82+Y82</f>
        <v>1226.06</v>
      </c>
      <c r="AA82" s="1" t="n">
        <v>277</v>
      </c>
    </row>
    <row r="83" customFormat="false" ht="13.8" hidden="false" customHeight="false" outlineLevel="0" collapsed="false">
      <c r="B83" s="2" t="n">
        <v>12606451</v>
      </c>
      <c r="C83" s="3" t="n">
        <v>0.690972222222222</v>
      </c>
      <c r="D83" s="4" t="n">
        <v>44616</v>
      </c>
      <c r="E83" s="1" t="s">
        <v>27</v>
      </c>
      <c r="F83" s="1" t="n">
        <v>6393</v>
      </c>
      <c r="G83" s="1" t="n">
        <v>4</v>
      </c>
      <c r="H83" s="1" t="n">
        <v>4</v>
      </c>
      <c r="J83" s="1" t="n">
        <v>200</v>
      </c>
      <c r="K83" s="1" t="n">
        <v>40</v>
      </c>
      <c r="O83" s="1" t="n">
        <f aca="false">P83*5</f>
        <v>450</v>
      </c>
      <c r="P83" s="1" t="n">
        <v>90</v>
      </c>
      <c r="X83" s="1" t="n">
        <v>520</v>
      </c>
      <c r="Y83" s="1" t="n">
        <f aca="false">46.8+46.8</f>
        <v>93.6</v>
      </c>
      <c r="Z83" s="1" t="n">
        <f aca="false">X83+Y83</f>
        <v>613.6</v>
      </c>
      <c r="AA83" s="1" t="n">
        <v>393</v>
      </c>
    </row>
    <row r="84" customFormat="false" ht="13.8" hidden="false" customHeight="false" outlineLevel="0" collapsed="false">
      <c r="B84" s="2" t="n">
        <v>12606451</v>
      </c>
      <c r="C84" s="3" t="n">
        <v>0.693055555555556</v>
      </c>
      <c r="D84" s="4" t="n">
        <v>44607</v>
      </c>
      <c r="E84" s="1" t="s">
        <v>27</v>
      </c>
      <c r="F84" s="1" t="n">
        <v>6037</v>
      </c>
      <c r="G84" s="1" t="n">
        <v>4</v>
      </c>
      <c r="H84" s="1" t="n">
        <v>4</v>
      </c>
      <c r="J84" s="1" t="n">
        <f aca="false">+K84*4</f>
        <v>958.48</v>
      </c>
      <c r="K84" s="1" t="n">
        <v>239.62</v>
      </c>
      <c r="X84" s="1" t="n">
        <v>718.85</v>
      </c>
      <c r="Y84" s="1" t="n">
        <f aca="false">64.7+64.7</f>
        <v>129.4</v>
      </c>
      <c r="Z84" s="1" t="n">
        <f aca="false">X84+Y84</f>
        <v>848.25</v>
      </c>
      <c r="AA84" s="1" t="n">
        <v>371</v>
      </c>
    </row>
    <row r="85" customFormat="false" ht="13.8" hidden="false" customHeight="false" outlineLevel="0" collapsed="false">
      <c r="B85" s="2" t="n">
        <v>12620641</v>
      </c>
      <c r="C85" s="3" t="n">
        <v>0.351388888888889</v>
      </c>
      <c r="D85" s="4" t="n">
        <v>44455</v>
      </c>
      <c r="E85" s="1" t="s">
        <v>27</v>
      </c>
      <c r="F85" s="1" t="n">
        <v>6946</v>
      </c>
      <c r="G85" s="1" t="n">
        <v>7</v>
      </c>
      <c r="H85" s="1" t="n">
        <v>7</v>
      </c>
      <c r="J85" s="12" t="n">
        <f aca="false">K85*5</f>
        <v>9375</v>
      </c>
      <c r="K85" s="12" t="n">
        <v>1875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 t="n">
        <v>8550</v>
      </c>
      <c r="Y85" s="12" t="n">
        <f aca="false">769.5+769.5</f>
        <v>1539</v>
      </c>
      <c r="Z85" s="11" t="n">
        <f aca="false">X85+Y85</f>
        <v>10089</v>
      </c>
      <c r="AA85" s="13" t="s">
        <v>31</v>
      </c>
    </row>
    <row r="86" customFormat="false" ht="13.8" hidden="false" customHeight="false" outlineLevel="0" collapsed="false">
      <c r="B86" s="2" t="n">
        <v>12620641</v>
      </c>
      <c r="C86" s="3" t="n">
        <v>0.133333333333333</v>
      </c>
      <c r="D86" s="4" t="n">
        <v>44465</v>
      </c>
      <c r="E86" s="1" t="s">
        <v>27</v>
      </c>
      <c r="F86" s="1" t="n">
        <v>6319</v>
      </c>
      <c r="G86" s="1" t="n">
        <v>1</v>
      </c>
      <c r="H86" s="1" t="n">
        <v>1</v>
      </c>
      <c r="J86" s="12" t="n">
        <v>1499</v>
      </c>
      <c r="K86" s="12" t="n">
        <v>299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 t="n">
        <v>1199.2</v>
      </c>
      <c r="Y86" s="12" t="n">
        <f aca="false">107.93+107.93</f>
        <v>215.86</v>
      </c>
      <c r="Z86" s="11" t="n">
        <f aca="false">X86+Y86</f>
        <v>1415.06</v>
      </c>
      <c r="AA86" s="13" t="s">
        <v>31</v>
      </c>
    </row>
    <row r="87" customFormat="false" ht="13.8" hidden="false" customHeight="false" outlineLevel="0" collapsed="false">
      <c r="B87" s="2" t="n">
        <v>12625901</v>
      </c>
      <c r="C87" s="3" t="n">
        <v>0.775</v>
      </c>
      <c r="D87" s="4" t="n">
        <v>44609</v>
      </c>
      <c r="E87" s="1" t="s">
        <v>27</v>
      </c>
      <c r="F87" s="1" t="n">
        <v>6120</v>
      </c>
      <c r="G87" s="1" t="n">
        <v>2</v>
      </c>
      <c r="H87" s="1" t="n">
        <v>2</v>
      </c>
      <c r="J87" s="1" t="n">
        <v>475</v>
      </c>
      <c r="K87" s="1" t="n">
        <v>237.5</v>
      </c>
      <c r="X87" s="1" t="n">
        <v>237.5</v>
      </c>
      <c r="Y87" s="1" t="n">
        <f aca="false">21.38+21.38</f>
        <v>42.76</v>
      </c>
      <c r="Z87" s="1" t="n">
        <f aca="false">X87+Y87</f>
        <v>280.26</v>
      </c>
      <c r="AA87" s="1" t="n">
        <v>362</v>
      </c>
    </row>
    <row r="88" customFormat="false" ht="13.8" hidden="false" customHeight="false" outlineLevel="0" collapsed="false">
      <c r="B88" s="2" t="n">
        <v>12628101</v>
      </c>
      <c r="C88" s="3" t="n">
        <v>0.795833333333334</v>
      </c>
      <c r="D88" s="4" t="n">
        <v>44519</v>
      </c>
      <c r="E88" s="1" t="s">
        <v>27</v>
      </c>
      <c r="F88" s="1" t="n">
        <v>6520</v>
      </c>
      <c r="G88" s="1" t="n">
        <v>2</v>
      </c>
      <c r="H88" s="1" t="n">
        <v>2</v>
      </c>
      <c r="J88" s="1" t="n">
        <v>525</v>
      </c>
      <c r="K88" s="1" t="n">
        <v>262.5</v>
      </c>
      <c r="X88" s="1" t="n">
        <v>262.5</v>
      </c>
      <c r="Y88" s="1" t="n">
        <f aca="false">23.63+23.63</f>
        <v>47.26</v>
      </c>
      <c r="Z88" s="11" t="n">
        <f aca="false">X88+Y88</f>
        <v>309.76</v>
      </c>
      <c r="AA88" s="1" t="n">
        <v>277</v>
      </c>
    </row>
    <row r="89" customFormat="false" ht="13.8" hidden="false" customHeight="false" outlineLevel="0" collapsed="false">
      <c r="B89" s="2" t="n">
        <v>12628551</v>
      </c>
      <c r="C89" s="3" t="n">
        <v>0.85</v>
      </c>
      <c r="D89" s="4" t="n">
        <v>44531</v>
      </c>
      <c r="E89" s="1" t="s">
        <v>27</v>
      </c>
      <c r="F89" s="1" t="n">
        <v>6994</v>
      </c>
      <c r="G89" s="1" t="n">
        <v>4</v>
      </c>
      <c r="H89" s="1" t="n">
        <v>4</v>
      </c>
      <c r="J89" s="1" t="n">
        <v>4800</v>
      </c>
      <c r="K89" s="1" t="n">
        <v>2400</v>
      </c>
      <c r="X89" s="1" t="n">
        <v>2400</v>
      </c>
      <c r="Y89" s="1" t="n">
        <f aca="false">247.5+247.5</f>
        <v>495</v>
      </c>
      <c r="Z89" s="1" t="n">
        <f aca="false">X89+Y89</f>
        <v>2895</v>
      </c>
      <c r="AA89" s="1" t="n">
        <v>277</v>
      </c>
    </row>
    <row r="90" customFormat="false" ht="13.8" hidden="false" customHeight="false" outlineLevel="0" collapsed="false">
      <c r="A90" s="15"/>
      <c r="B90" s="15" t="n">
        <v>12645811</v>
      </c>
      <c r="C90" s="16" t="s">
        <v>36</v>
      </c>
      <c r="D90" s="17" t="n">
        <v>44617</v>
      </c>
      <c r="E90" s="15" t="s">
        <v>27</v>
      </c>
      <c r="F90" s="15" t="n">
        <v>6441</v>
      </c>
      <c r="G90" s="15" t="n">
        <v>2</v>
      </c>
      <c r="H90" s="15" t="n">
        <v>2</v>
      </c>
      <c r="I90" s="15"/>
      <c r="J90" s="15" t="n">
        <v>1300</v>
      </c>
      <c r="K90" s="15" t="n">
        <v>650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 t="n">
        <v>650</v>
      </c>
      <c r="Y90" s="15" t="n">
        <f aca="false">58.5+58.5</f>
        <v>117</v>
      </c>
      <c r="Z90" s="15" t="n">
        <f aca="false">X90+Y90</f>
        <v>767</v>
      </c>
      <c r="AA90" s="15" t="n">
        <v>363</v>
      </c>
    </row>
    <row r="91" customFormat="false" ht="13.8" hidden="false" customHeight="false" outlineLevel="0" collapsed="false">
      <c r="A91" s="15"/>
      <c r="B91" s="15" t="n">
        <v>12645811</v>
      </c>
      <c r="C91" s="16" t="n">
        <v>0.874305555555556</v>
      </c>
      <c r="D91" s="17" t="n">
        <v>44617</v>
      </c>
      <c r="E91" s="15" t="s">
        <v>30</v>
      </c>
      <c r="F91" s="15" t="n">
        <v>3208</v>
      </c>
      <c r="G91" s="15" t="n">
        <v>2</v>
      </c>
      <c r="H91" s="15" t="n">
        <v>2</v>
      </c>
      <c r="I91" s="15"/>
      <c r="J91" s="15"/>
      <c r="K91" s="15"/>
      <c r="L91" s="15"/>
      <c r="M91" s="15"/>
      <c r="N91" s="15"/>
      <c r="O91" s="15" t="n">
        <f aca="false">P91*5</f>
        <v>2265</v>
      </c>
      <c r="P91" s="15" t="n">
        <f aca="false">255+198</f>
        <v>453</v>
      </c>
      <c r="Q91" s="15"/>
      <c r="R91" s="15"/>
      <c r="S91" s="15"/>
      <c r="T91" s="15"/>
      <c r="U91" s="15"/>
      <c r="V91" s="15"/>
      <c r="W91" s="15"/>
      <c r="X91" s="15" t="n">
        <v>1812</v>
      </c>
      <c r="Y91" s="15" t="n">
        <v>362</v>
      </c>
      <c r="Z91" s="15" t="n">
        <f aca="false">X91+Y91</f>
        <v>2174</v>
      </c>
      <c r="AA91" s="15"/>
    </row>
    <row r="92" customFormat="false" ht="13.8" hidden="false" customHeight="false" outlineLevel="0" collapsed="false">
      <c r="B92" s="2" t="n">
        <v>12685951</v>
      </c>
      <c r="C92" s="3" t="n">
        <v>0.325</v>
      </c>
      <c r="D92" s="4" t="n">
        <v>44477</v>
      </c>
      <c r="E92" s="1" t="s">
        <v>27</v>
      </c>
      <c r="F92" s="1" t="n">
        <v>6819</v>
      </c>
      <c r="G92" s="1" t="n">
        <v>2</v>
      </c>
      <c r="H92" s="1" t="n">
        <v>2</v>
      </c>
      <c r="J92" s="12" t="n">
        <v>2050</v>
      </c>
      <c r="K92" s="12" t="n">
        <v>676.5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 t="n">
        <v>1373.5</v>
      </c>
      <c r="Y92" s="12" t="n">
        <f aca="false">123.62+123.62</f>
        <v>247.24</v>
      </c>
      <c r="Z92" s="11" t="n">
        <f aca="false">X92+Y92</f>
        <v>1620.74</v>
      </c>
      <c r="AA92" s="13" t="s">
        <v>31</v>
      </c>
    </row>
    <row r="93" customFormat="false" ht="13.8" hidden="false" customHeight="false" outlineLevel="0" collapsed="false">
      <c r="B93" s="2" t="n">
        <v>12685951</v>
      </c>
      <c r="C93" s="3" t="n">
        <v>0.368055555555556</v>
      </c>
      <c r="D93" s="4" t="n">
        <v>44474</v>
      </c>
      <c r="E93" s="1" t="s">
        <v>27</v>
      </c>
      <c r="F93" s="1" t="n">
        <v>6699</v>
      </c>
      <c r="G93" s="1" t="n">
        <v>1</v>
      </c>
      <c r="H93" s="1" t="n">
        <v>1</v>
      </c>
      <c r="J93" s="12" t="n">
        <v>950</v>
      </c>
      <c r="K93" s="12" t="n">
        <v>280.5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 t="n">
        <v>569.5</v>
      </c>
      <c r="Y93" s="12" t="n">
        <f aca="false">51.26+51.26</f>
        <v>102.52</v>
      </c>
      <c r="Z93" s="11" t="n">
        <f aca="false">X93+Y93</f>
        <v>672.02</v>
      </c>
      <c r="AA93" s="13" t="s">
        <v>31</v>
      </c>
    </row>
    <row r="94" customFormat="false" ht="13.8" hidden="false" customHeight="false" outlineLevel="0" collapsed="false">
      <c r="B94" s="2" t="n">
        <v>12685951</v>
      </c>
      <c r="C94" s="3" t="n">
        <v>0.35625</v>
      </c>
      <c r="D94" s="4" t="n">
        <v>44474</v>
      </c>
      <c r="E94" s="1" t="s">
        <v>27</v>
      </c>
      <c r="F94" s="1" t="n">
        <v>6697</v>
      </c>
      <c r="G94" s="1" t="n">
        <v>1</v>
      </c>
      <c r="H94" s="1" t="n">
        <v>1</v>
      </c>
      <c r="J94" s="12" t="n">
        <v>975</v>
      </c>
      <c r="K94" s="12" t="n">
        <v>321.75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 t="n">
        <v>653.25</v>
      </c>
      <c r="Y94" s="12" t="n">
        <f aca="false">58.79+58.79</f>
        <v>117.58</v>
      </c>
      <c r="Z94" s="11" t="n">
        <f aca="false">X94+Y94</f>
        <v>770.83</v>
      </c>
      <c r="AA94" s="13" t="s">
        <v>31</v>
      </c>
    </row>
    <row r="95" customFormat="false" ht="13.8" hidden="false" customHeight="false" outlineLevel="0" collapsed="false">
      <c r="B95" s="2" t="n">
        <v>12685951</v>
      </c>
      <c r="C95" s="3" t="n">
        <v>0.820138888888889</v>
      </c>
      <c r="D95" s="4" t="n">
        <v>44547</v>
      </c>
      <c r="E95" s="1" t="s">
        <v>27</v>
      </c>
      <c r="F95" s="1" t="n">
        <v>6615</v>
      </c>
      <c r="G95" s="1" t="n">
        <v>3</v>
      </c>
      <c r="H95" s="1" t="n">
        <v>3</v>
      </c>
      <c r="J95" s="1" t="n">
        <f aca="false">650+525+650</f>
        <v>1825</v>
      </c>
      <c r="K95" s="1" t="n">
        <v>602.25</v>
      </c>
      <c r="X95" s="1" t="n">
        <v>1222.75</v>
      </c>
      <c r="Y95" s="1" t="n">
        <v>220</v>
      </c>
      <c r="Z95" s="1" t="n">
        <f aca="false">X95+Y95</f>
        <v>1442.75</v>
      </c>
      <c r="AA95" s="1" t="n">
        <v>277</v>
      </c>
    </row>
    <row r="96" customFormat="false" ht="13.8" hidden="false" customHeight="false" outlineLevel="0" collapsed="false">
      <c r="B96" s="2" t="n">
        <v>12685951</v>
      </c>
      <c r="C96" s="3" t="n">
        <v>0.379166666666667</v>
      </c>
      <c r="D96" s="4" t="n">
        <v>44468</v>
      </c>
      <c r="E96" s="1" t="s">
        <v>28</v>
      </c>
      <c r="F96" s="1" t="n">
        <v>1816</v>
      </c>
      <c r="G96" s="1" t="n">
        <v>1</v>
      </c>
      <c r="H96" s="1" t="n">
        <v>1</v>
      </c>
      <c r="J96" s="12" t="n">
        <f aca="false">+K96*5</f>
        <v>3450</v>
      </c>
      <c r="K96" s="12" t="n">
        <v>690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 t="n">
        <v>2760</v>
      </c>
      <c r="Y96" s="12" t="n">
        <f aca="false">248.4+248.4</f>
        <v>496.8</v>
      </c>
      <c r="Z96" s="11" t="n">
        <f aca="false">X96+Y96</f>
        <v>3256.8</v>
      </c>
      <c r="AA96" s="13" t="s">
        <v>33</v>
      </c>
    </row>
    <row r="97" customFormat="false" ht="13.8" hidden="false" customHeight="false" outlineLevel="0" collapsed="false">
      <c r="B97" s="2" t="n">
        <v>12690711</v>
      </c>
      <c r="C97" s="3" t="n">
        <v>0.936805555555556</v>
      </c>
      <c r="D97" s="4" t="n">
        <v>44503</v>
      </c>
      <c r="E97" s="1" t="s">
        <v>27</v>
      </c>
      <c r="F97" s="1" t="n">
        <v>6948</v>
      </c>
      <c r="G97" s="1" t="n">
        <v>3</v>
      </c>
      <c r="H97" s="1" t="n">
        <v>3</v>
      </c>
      <c r="J97" s="1" t="n">
        <f aca="false">600+550+675</f>
        <v>1825</v>
      </c>
      <c r="K97" s="1" t="n">
        <v>602.25</v>
      </c>
      <c r="X97" s="1" t="n">
        <v>1222.75</v>
      </c>
      <c r="Y97" s="1" t="n">
        <f aca="false">220.1</f>
        <v>220.1</v>
      </c>
      <c r="Z97" s="11" t="n">
        <f aca="false">X97+Y97</f>
        <v>1442.85</v>
      </c>
      <c r="AA97" s="1" t="n">
        <v>277</v>
      </c>
    </row>
    <row r="98" customFormat="false" ht="13.8" hidden="false" customHeight="false" outlineLevel="0" collapsed="false">
      <c r="B98" s="2" t="n">
        <v>12690711</v>
      </c>
      <c r="C98" s="3" t="n">
        <v>0.927083333333333</v>
      </c>
      <c r="D98" s="4" t="n">
        <v>44501</v>
      </c>
      <c r="E98" s="1" t="s">
        <v>27</v>
      </c>
      <c r="F98" s="1" t="n">
        <v>6893</v>
      </c>
      <c r="G98" s="1" t="n">
        <v>2</v>
      </c>
      <c r="H98" s="1" t="n">
        <v>2</v>
      </c>
      <c r="J98" s="1" t="n">
        <v>2900</v>
      </c>
      <c r="K98" s="1" t="n">
        <v>957</v>
      </c>
      <c r="X98" s="1" t="n">
        <v>1943</v>
      </c>
      <c r="Y98" s="1" t="n">
        <f aca="false">174.87+174.87</f>
        <v>349.74</v>
      </c>
      <c r="Z98" s="11" t="n">
        <f aca="false">X98+Y98</f>
        <v>2292.74</v>
      </c>
      <c r="AA98" s="1" t="n">
        <v>363</v>
      </c>
    </row>
    <row r="99" customFormat="false" ht="13.8" hidden="false" customHeight="false" outlineLevel="0" collapsed="false">
      <c r="B99" s="2" t="n">
        <v>12690711</v>
      </c>
      <c r="C99" s="3" t="n">
        <v>0.599305555555556</v>
      </c>
      <c r="D99" s="4" t="n">
        <v>44551</v>
      </c>
      <c r="E99" s="1" t="s">
        <v>27</v>
      </c>
      <c r="F99" s="1" t="n">
        <v>6764</v>
      </c>
      <c r="G99" s="1" t="n">
        <v>2</v>
      </c>
      <c r="H99" s="1" t="n">
        <v>2</v>
      </c>
      <c r="J99" s="1" t="n">
        <v>1850</v>
      </c>
      <c r="K99" s="1" t="n">
        <v>912.5</v>
      </c>
      <c r="X99" s="1" t="n">
        <v>912.5</v>
      </c>
      <c r="Y99" s="1" t="n">
        <f aca="false">82.13+82.13</f>
        <v>164.26</v>
      </c>
      <c r="Z99" s="1" t="n">
        <f aca="false">X99+Y99</f>
        <v>1076.76</v>
      </c>
      <c r="AA99" s="1" t="n">
        <v>330</v>
      </c>
    </row>
    <row r="100" customFormat="false" ht="13.8" hidden="false" customHeight="false" outlineLevel="0" collapsed="false">
      <c r="B100" s="2" t="n">
        <v>12690711</v>
      </c>
      <c r="C100" s="3" t="n">
        <v>0.914583333333333</v>
      </c>
      <c r="D100" s="4" t="n">
        <v>44549</v>
      </c>
      <c r="E100" s="1" t="s">
        <v>27</v>
      </c>
      <c r="F100" s="1" t="n">
        <v>6723</v>
      </c>
      <c r="G100" s="1" t="n">
        <v>7</v>
      </c>
      <c r="H100" s="1" t="n">
        <v>7</v>
      </c>
      <c r="J100" s="1" t="n">
        <v>8400</v>
      </c>
      <c r="K100" s="1" t="n">
        <v>4200</v>
      </c>
      <c r="X100" s="1" t="n">
        <v>4200</v>
      </c>
      <c r="Y100" s="1" t="n">
        <f aca="false">378+378</f>
        <v>756</v>
      </c>
      <c r="Z100" s="1" t="n">
        <f aca="false">X100+Y100</f>
        <v>4956</v>
      </c>
      <c r="AA100" s="1" t="n">
        <v>277</v>
      </c>
    </row>
    <row r="101" customFormat="false" ht="13.8" hidden="false" customHeight="false" outlineLevel="0" collapsed="false">
      <c r="B101" s="2" t="n">
        <v>12690711</v>
      </c>
      <c r="C101" s="3" t="n">
        <v>0.570833333333333</v>
      </c>
      <c r="D101" s="4" t="n">
        <v>44549</v>
      </c>
      <c r="E101" s="1" t="s">
        <v>27</v>
      </c>
      <c r="F101" s="1" t="n">
        <v>6694</v>
      </c>
      <c r="G101" s="1" t="n">
        <v>2</v>
      </c>
      <c r="H101" s="1" t="n">
        <v>2</v>
      </c>
      <c r="J101" s="1" t="n">
        <v>2998</v>
      </c>
      <c r="K101" s="1" t="n">
        <v>1499</v>
      </c>
      <c r="X101" s="1" t="n">
        <v>1499</v>
      </c>
      <c r="Y101" s="1" t="n">
        <f aca="false">134.91+134.91</f>
        <v>269.82</v>
      </c>
      <c r="Z101" s="1" t="n">
        <f aca="false">X101+Y101</f>
        <v>1768.82</v>
      </c>
      <c r="AA101" s="1" t="n">
        <v>277</v>
      </c>
    </row>
    <row r="102" customFormat="false" ht="13.8" hidden="false" customHeight="false" outlineLevel="0" collapsed="false">
      <c r="B102" s="2" t="n">
        <v>12690711</v>
      </c>
      <c r="C102" s="3" t="n">
        <v>0.611805555555556</v>
      </c>
      <c r="D102" s="4" t="n">
        <v>44616</v>
      </c>
      <c r="E102" s="1" t="s">
        <v>27</v>
      </c>
      <c r="F102" s="1" t="n">
        <v>6385</v>
      </c>
      <c r="G102" s="1" t="n">
        <v>2</v>
      </c>
      <c r="H102" s="1" t="n">
        <v>2</v>
      </c>
      <c r="J102" s="1" t="n">
        <f aca="false">K102*2</f>
        <v>1158.48</v>
      </c>
      <c r="K102" s="1" t="n">
        <v>579.24</v>
      </c>
      <c r="X102" s="1" t="n">
        <v>579</v>
      </c>
      <c r="Y102" s="1" t="n">
        <f aca="false">52.13+52.13</f>
        <v>104.26</v>
      </c>
      <c r="Z102" s="1" t="n">
        <f aca="false">X102+Y102</f>
        <v>683.26</v>
      </c>
      <c r="AA102" s="1" t="n">
        <v>371</v>
      </c>
    </row>
    <row r="103" customFormat="false" ht="13.8" hidden="false" customHeight="false" outlineLevel="0" collapsed="false">
      <c r="B103" s="2" t="n">
        <v>12690711</v>
      </c>
      <c r="C103" s="3" t="n">
        <v>0.942361111111111</v>
      </c>
      <c r="D103" s="4" t="n">
        <v>44535</v>
      </c>
      <c r="E103" s="1" t="s">
        <v>27</v>
      </c>
      <c r="F103" s="1" t="n">
        <v>6173</v>
      </c>
      <c r="G103" s="1" t="n">
        <v>2</v>
      </c>
      <c r="H103" s="1" t="n">
        <v>2</v>
      </c>
      <c r="J103" s="1" t="n">
        <v>1650</v>
      </c>
      <c r="K103" s="1" t="n">
        <v>825</v>
      </c>
      <c r="X103" s="1" t="n">
        <v>825</v>
      </c>
      <c r="Y103" s="1" t="n">
        <f aca="false">74.25+74.25</f>
        <v>148.5</v>
      </c>
      <c r="Z103" s="1" t="n">
        <f aca="false">X103+Y103</f>
        <v>973.5</v>
      </c>
      <c r="AA103" s="1" t="n">
        <v>277</v>
      </c>
    </row>
    <row r="104" customFormat="false" ht="13.8" hidden="false" customHeight="false" outlineLevel="0" collapsed="false">
      <c r="B104" s="2" t="n">
        <v>12732591</v>
      </c>
      <c r="C104" s="3" t="n">
        <v>0.879166666666667</v>
      </c>
      <c r="D104" s="4" t="n">
        <v>44516</v>
      </c>
      <c r="E104" s="1" t="s">
        <v>27</v>
      </c>
      <c r="F104" s="1" t="n">
        <v>6402</v>
      </c>
      <c r="G104" s="1" t="n">
        <v>1</v>
      </c>
      <c r="H104" s="1" t="n">
        <v>1</v>
      </c>
      <c r="J104" s="1" t="n">
        <v>1200</v>
      </c>
      <c r="K104" s="1" t="n">
        <v>240</v>
      </c>
      <c r="X104" s="1" t="n">
        <v>960</v>
      </c>
      <c r="Y104" s="1" t="n">
        <f aca="false">86.4+86.4</f>
        <v>172.8</v>
      </c>
      <c r="Z104" s="11" t="n">
        <f aca="false">X104+Y104</f>
        <v>1132.8</v>
      </c>
      <c r="AA104" s="1" t="n">
        <v>363</v>
      </c>
    </row>
    <row r="105" customFormat="false" ht="13.8" hidden="false" customHeight="false" outlineLevel="0" collapsed="false">
      <c r="B105" s="2" t="n">
        <v>12732591</v>
      </c>
      <c r="C105" s="3" t="n">
        <v>0.396527777777778</v>
      </c>
      <c r="D105" s="4" t="n">
        <v>44439</v>
      </c>
      <c r="E105" s="1" t="s">
        <v>27</v>
      </c>
      <c r="F105" s="1" t="n">
        <v>6279</v>
      </c>
      <c r="G105" s="1" t="n">
        <v>4</v>
      </c>
      <c r="H105" s="1" t="n">
        <v>4</v>
      </c>
      <c r="J105" s="12" t="n">
        <v>4800</v>
      </c>
      <c r="K105" s="12" t="n">
        <v>2400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 t="n">
        <v>3000</v>
      </c>
      <c r="Y105" s="12" t="n">
        <f aca="false">270+270</f>
        <v>540</v>
      </c>
      <c r="Z105" s="11" t="n">
        <f aca="false">X105+Y105</f>
        <v>3540</v>
      </c>
      <c r="AA105" s="13" t="s">
        <v>31</v>
      </c>
    </row>
    <row r="106" customFormat="false" ht="13.8" hidden="false" customHeight="false" outlineLevel="0" collapsed="false">
      <c r="B106" s="2" t="n">
        <v>12732591</v>
      </c>
      <c r="C106" s="3" t="n">
        <v>0.554861111111111</v>
      </c>
      <c r="D106" s="4" t="n">
        <v>44549</v>
      </c>
      <c r="E106" s="1" t="s">
        <v>30</v>
      </c>
      <c r="F106" s="1" t="n">
        <v>3654</v>
      </c>
      <c r="G106" s="1" t="n">
        <v>2</v>
      </c>
      <c r="H106" s="1" t="n">
        <v>2</v>
      </c>
      <c r="O106" s="1" t="n">
        <v>1700</v>
      </c>
      <c r="P106" s="1" t="n">
        <v>340</v>
      </c>
      <c r="X106" s="1" t="n">
        <v>1360</v>
      </c>
      <c r="Y106" s="1" t="n">
        <v>272</v>
      </c>
      <c r="Z106" s="1" t="n">
        <f aca="false">X106+Y106</f>
        <v>1632</v>
      </c>
      <c r="AA106" s="1" t="n">
        <v>277</v>
      </c>
    </row>
    <row r="107" customFormat="false" ht="13.8" hidden="false" customHeight="false" outlineLevel="0" collapsed="false">
      <c r="B107" s="2" t="n">
        <v>12732591</v>
      </c>
      <c r="C107" s="3" t="n">
        <v>0.363888888888889</v>
      </c>
      <c r="D107" s="4" t="n">
        <v>44439</v>
      </c>
      <c r="E107" s="1" t="s">
        <v>30</v>
      </c>
      <c r="F107" s="1" t="n">
        <v>3457</v>
      </c>
      <c r="G107" s="1" t="n">
        <v>2</v>
      </c>
      <c r="H107" s="1" t="n">
        <v>2</v>
      </c>
      <c r="J107" s="12"/>
      <c r="K107" s="12"/>
      <c r="L107" s="12"/>
      <c r="M107" s="12"/>
      <c r="N107" s="12"/>
      <c r="O107" s="12"/>
      <c r="P107" s="12" t="n">
        <v>3300</v>
      </c>
      <c r="Q107" s="12" t="n">
        <v>660</v>
      </c>
      <c r="R107" s="12"/>
      <c r="S107" s="12"/>
      <c r="T107" s="12"/>
      <c r="U107" s="12"/>
      <c r="V107" s="12"/>
      <c r="W107" s="12"/>
      <c r="X107" s="12" t="n">
        <v>2640</v>
      </c>
      <c r="Y107" s="12" t="n">
        <v>528</v>
      </c>
      <c r="Z107" s="11" t="n">
        <f aca="false">X107+Y107</f>
        <v>3168</v>
      </c>
      <c r="AA107" s="13" t="s">
        <v>31</v>
      </c>
    </row>
    <row r="108" customFormat="false" ht="13.8" hidden="false" customHeight="false" outlineLevel="0" collapsed="false">
      <c r="B108" s="2" t="n">
        <v>12732591</v>
      </c>
      <c r="C108" s="3" t="n">
        <v>0.288194444444444</v>
      </c>
      <c r="D108" s="4" t="n">
        <v>44439</v>
      </c>
      <c r="E108" s="1" t="s">
        <v>30</v>
      </c>
      <c r="F108" s="1" t="n">
        <v>3453</v>
      </c>
      <c r="G108" s="1" t="n">
        <v>1</v>
      </c>
      <c r="H108" s="1" t="n">
        <v>1</v>
      </c>
      <c r="J108" s="12"/>
      <c r="K108" s="12"/>
      <c r="L108" s="12"/>
      <c r="M108" s="12"/>
      <c r="N108" s="12"/>
      <c r="O108" s="12"/>
      <c r="P108" s="12" t="n">
        <v>6600</v>
      </c>
      <c r="Q108" s="12" t="n">
        <v>3300</v>
      </c>
      <c r="R108" s="12"/>
      <c r="S108" s="12"/>
      <c r="T108" s="12"/>
      <c r="U108" s="12"/>
      <c r="V108" s="12"/>
      <c r="W108" s="12"/>
      <c r="X108" s="12" t="n">
        <v>3300</v>
      </c>
      <c r="Y108" s="12" t="n">
        <v>660</v>
      </c>
      <c r="Z108" s="11" t="n">
        <f aca="false">X108+Y108</f>
        <v>3960</v>
      </c>
      <c r="AA108" s="13" t="s">
        <v>31</v>
      </c>
    </row>
    <row r="109" customFormat="false" ht="13.8" hidden="false" customHeight="false" outlineLevel="0" collapsed="false">
      <c r="B109" s="2" t="n">
        <v>12732591</v>
      </c>
      <c r="C109" s="3" t="n">
        <v>0.878472222222222</v>
      </c>
      <c r="D109" s="4" t="n">
        <v>44515</v>
      </c>
      <c r="E109" s="1" t="s">
        <v>30</v>
      </c>
      <c r="F109" s="1" t="n">
        <v>3297</v>
      </c>
      <c r="G109" s="1" t="n">
        <v>3</v>
      </c>
      <c r="H109" s="1" t="n">
        <v>3</v>
      </c>
      <c r="P109" s="1" t="n">
        <v>1000</v>
      </c>
      <c r="Q109" s="1" t="n">
        <v>200</v>
      </c>
      <c r="X109" s="1" t="n">
        <v>800</v>
      </c>
      <c r="Y109" s="1" t="n">
        <v>160</v>
      </c>
      <c r="Z109" s="11" t="n">
        <f aca="false">X109+Y109</f>
        <v>960</v>
      </c>
      <c r="AA109" s="1" t="n">
        <v>363</v>
      </c>
    </row>
    <row r="110" customFormat="false" ht="13.8" hidden="false" customHeight="false" outlineLevel="0" collapsed="false">
      <c r="B110" s="2" t="n">
        <v>12734561</v>
      </c>
      <c r="C110" s="3" t="n">
        <v>0.830555555555556</v>
      </c>
      <c r="D110" s="4" t="n">
        <v>44544</v>
      </c>
      <c r="E110" s="1" t="s">
        <v>30</v>
      </c>
      <c r="F110" s="1" t="n">
        <v>3597</v>
      </c>
      <c r="G110" s="1" t="n">
        <v>2</v>
      </c>
      <c r="H110" s="1" t="n">
        <v>2</v>
      </c>
      <c r="J110" s="1" t="n">
        <v>1600</v>
      </c>
      <c r="K110" s="1" t="n">
        <v>320</v>
      </c>
      <c r="X110" s="1" t="n">
        <v>1280</v>
      </c>
      <c r="Y110" s="1" t="n">
        <v>256</v>
      </c>
      <c r="Z110" s="1" t="n">
        <f aca="false">X110+Y110</f>
        <v>1536</v>
      </c>
      <c r="AA110" s="1" t="n">
        <v>277</v>
      </c>
    </row>
    <row r="111" customFormat="false" ht="13.8" hidden="false" customHeight="false" outlineLevel="0" collapsed="false">
      <c r="B111" s="2" t="n">
        <v>12738501</v>
      </c>
      <c r="C111" s="3" t="n">
        <v>0.610416666666667</v>
      </c>
      <c r="D111" s="4" t="n">
        <v>44514</v>
      </c>
      <c r="E111" s="1" t="s">
        <v>27</v>
      </c>
      <c r="F111" s="1" t="n">
        <v>6319</v>
      </c>
      <c r="G111" s="1" t="n">
        <v>2</v>
      </c>
      <c r="H111" s="1" t="n">
        <v>2</v>
      </c>
      <c r="J111" s="1" t="n">
        <v>2998</v>
      </c>
      <c r="K111" s="1" t="n">
        <v>599.6</v>
      </c>
      <c r="X111" s="1" t="n">
        <v>2398.4</v>
      </c>
      <c r="Y111" s="1" t="n">
        <f aca="false">215.86+215.86</f>
        <v>431.72</v>
      </c>
      <c r="Z111" s="11" t="n">
        <f aca="false">X111+Y111</f>
        <v>2830.12</v>
      </c>
      <c r="AA111" s="1" t="n">
        <v>277</v>
      </c>
    </row>
    <row r="112" customFormat="false" ht="13.8" hidden="false" customHeight="false" outlineLevel="0" collapsed="false">
      <c r="B112" s="2" t="n">
        <v>12745171</v>
      </c>
      <c r="C112" s="3" t="s">
        <v>37</v>
      </c>
      <c r="D112" s="4" t="n">
        <v>44551</v>
      </c>
      <c r="E112" s="1" t="s">
        <v>30</v>
      </c>
      <c r="F112" s="1" t="n">
        <v>3699</v>
      </c>
      <c r="G112" s="1" t="n">
        <v>2</v>
      </c>
      <c r="H112" s="1" t="n">
        <v>2</v>
      </c>
      <c r="O112" s="1" t="n">
        <f aca="false">P112*5</f>
        <v>2455</v>
      </c>
      <c r="P112" s="1" t="n">
        <v>491</v>
      </c>
      <c r="X112" s="1" t="n">
        <v>1964</v>
      </c>
      <c r="Y112" s="1" t="n">
        <v>392.8</v>
      </c>
      <c r="Z112" s="1" t="n">
        <f aca="false">X112+Y112</f>
        <v>2356.8</v>
      </c>
      <c r="AA112" s="1" t="n">
        <v>277</v>
      </c>
    </row>
    <row r="113" customFormat="false" ht="13.8" hidden="false" customHeight="false" outlineLevel="0" collapsed="false">
      <c r="B113" s="2" t="n">
        <v>12762701</v>
      </c>
      <c r="C113" s="3" t="n">
        <v>0.452777777777778</v>
      </c>
      <c r="D113" s="4" t="n">
        <v>44528</v>
      </c>
      <c r="E113" s="1" t="s">
        <v>27</v>
      </c>
      <c r="F113" s="1" t="n">
        <v>6853</v>
      </c>
      <c r="G113" s="1" t="n">
        <v>1</v>
      </c>
      <c r="H113" s="1" t="n">
        <v>1</v>
      </c>
      <c r="J113" s="1" t="n">
        <v>699</v>
      </c>
      <c r="K113" s="1" t="n">
        <v>139</v>
      </c>
      <c r="X113" s="1" t="n">
        <v>559</v>
      </c>
      <c r="Y113" s="1" t="n">
        <v>139.8</v>
      </c>
      <c r="Z113" s="11" t="n">
        <f aca="false">X113+Y113</f>
        <v>698.8</v>
      </c>
      <c r="AA113" s="1" t="n">
        <v>312</v>
      </c>
    </row>
    <row r="114" customFormat="false" ht="13.8" hidden="false" customHeight="false" outlineLevel="0" collapsed="false">
      <c r="B114" s="2" t="n">
        <v>12762701</v>
      </c>
      <c r="C114" s="3" t="n">
        <v>0.991666666666667</v>
      </c>
      <c r="D114" s="4" t="n">
        <v>44527</v>
      </c>
      <c r="E114" s="1" t="s">
        <v>28</v>
      </c>
      <c r="F114" s="1" t="n">
        <v>2463</v>
      </c>
      <c r="G114" s="1" t="n">
        <v>1</v>
      </c>
      <c r="H114" s="1" t="n">
        <v>1</v>
      </c>
      <c r="J114" s="1" t="n">
        <f aca="false">K114*5</f>
        <v>725</v>
      </c>
      <c r="K114" s="1" t="n">
        <v>145</v>
      </c>
      <c r="X114" s="1" t="n">
        <v>580</v>
      </c>
      <c r="Y114" s="1" t="n">
        <f aca="false">52.2+52.2</f>
        <v>104.4</v>
      </c>
      <c r="Z114" s="11" t="n">
        <f aca="false">X114+Y114</f>
        <v>684.4</v>
      </c>
      <c r="AA114" s="1" t="n">
        <v>277</v>
      </c>
    </row>
    <row r="115" customFormat="false" ht="13.8" hidden="false" customHeight="false" outlineLevel="0" collapsed="false">
      <c r="B115" s="2" t="n">
        <v>12762701</v>
      </c>
      <c r="C115" s="3" t="n">
        <v>0.514583333333333</v>
      </c>
      <c r="D115" s="4" t="n">
        <v>44527</v>
      </c>
      <c r="E115" s="1" t="s">
        <v>28</v>
      </c>
      <c r="F115" s="1" t="n">
        <v>2411</v>
      </c>
      <c r="G115" s="1" t="n">
        <v>1</v>
      </c>
      <c r="H115" s="1" t="n">
        <v>1</v>
      </c>
      <c r="L115" s="1" t="n">
        <v>525</v>
      </c>
      <c r="M115" s="1" t="n">
        <v>78.75</v>
      </c>
      <c r="X115" s="1" t="n">
        <v>446</v>
      </c>
      <c r="Y115" s="1" t="n">
        <f aca="false">40.16+40.16</f>
        <v>80.32</v>
      </c>
      <c r="Z115" s="11" t="n">
        <f aca="false">X115+Y115</f>
        <v>526.32</v>
      </c>
      <c r="AA115" s="1" t="n">
        <v>312</v>
      </c>
    </row>
    <row r="116" customFormat="false" ht="13.8" hidden="false" customHeight="false" outlineLevel="0" collapsed="false">
      <c r="B116" s="2" t="n">
        <v>12762701</v>
      </c>
      <c r="C116" s="3" t="n">
        <v>0.535416666666667</v>
      </c>
      <c r="D116" s="4" t="n">
        <v>44541</v>
      </c>
      <c r="E116" s="1" t="s">
        <v>28</v>
      </c>
      <c r="F116" s="1" t="n">
        <v>1746</v>
      </c>
      <c r="G116" s="1" t="n">
        <v>1</v>
      </c>
      <c r="H116" s="1" t="n">
        <v>1</v>
      </c>
      <c r="J116" s="1" t="n">
        <v>1000</v>
      </c>
      <c r="K116" s="1" t="n">
        <v>200</v>
      </c>
      <c r="X116" s="1" t="n">
        <v>800</v>
      </c>
      <c r="Y116" s="1" t="n">
        <v>144</v>
      </c>
      <c r="Z116" s="1" t="n">
        <f aca="false">X116+Y116</f>
        <v>944</v>
      </c>
      <c r="AA116" s="1" t="n">
        <v>312</v>
      </c>
    </row>
    <row r="117" customFormat="false" ht="13.8" hidden="false" customHeight="false" outlineLevel="0" collapsed="false">
      <c r="B117" s="2" t="n">
        <v>12762701</v>
      </c>
      <c r="C117" s="3" t="n">
        <v>0.501388888888889</v>
      </c>
      <c r="D117" s="4" t="n">
        <v>44541</v>
      </c>
      <c r="E117" s="1" t="s">
        <v>28</v>
      </c>
      <c r="F117" s="1" t="n">
        <v>1742</v>
      </c>
      <c r="G117" s="1" t="n">
        <v>1</v>
      </c>
      <c r="H117" s="1" t="n">
        <v>1</v>
      </c>
      <c r="J117" s="1" t="n">
        <v>1500</v>
      </c>
      <c r="X117" s="1" t="n">
        <v>1500</v>
      </c>
      <c r="Y117" s="1" t="n">
        <f aca="false">135+135</f>
        <v>270</v>
      </c>
      <c r="Z117" s="1" t="n">
        <f aca="false">X117+Y117</f>
        <v>1770</v>
      </c>
      <c r="AA117" s="1" t="n">
        <v>312</v>
      </c>
    </row>
    <row r="118" customFormat="false" ht="13.8" hidden="false" customHeight="false" outlineLevel="0" collapsed="false">
      <c r="B118" s="2" t="n">
        <v>12776371</v>
      </c>
      <c r="C118" s="3" t="n">
        <v>0.334722222222222</v>
      </c>
      <c r="D118" s="4" t="n">
        <v>44426</v>
      </c>
      <c r="E118" s="1" t="s">
        <v>27</v>
      </c>
      <c r="F118" s="1" t="n">
        <v>6767</v>
      </c>
      <c r="G118" s="1" t="n">
        <v>2</v>
      </c>
      <c r="H118" s="1" t="n">
        <v>2</v>
      </c>
      <c r="J118" s="12" t="n">
        <v>875</v>
      </c>
      <c r="K118" s="12" t="n">
        <v>437.5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 t="n">
        <v>437.5</v>
      </c>
      <c r="Y118" s="12" t="n">
        <f aca="false">39.38+39.38</f>
        <v>78.76</v>
      </c>
      <c r="Z118" s="11" t="n">
        <f aca="false">X118+Y118</f>
        <v>516.26</v>
      </c>
      <c r="AA118" s="13" t="s">
        <v>38</v>
      </c>
    </row>
    <row r="119" customFormat="false" ht="13.8" hidden="false" customHeight="false" outlineLevel="0" collapsed="false">
      <c r="B119" s="2" t="n">
        <v>12776371</v>
      </c>
      <c r="C119" s="3" t="n">
        <v>0.0444444444444444</v>
      </c>
      <c r="D119" s="4" t="n">
        <v>44424</v>
      </c>
      <c r="E119" s="1" t="s">
        <v>27</v>
      </c>
      <c r="F119" s="1" t="n">
        <v>6683</v>
      </c>
      <c r="G119" s="1" t="n">
        <v>2</v>
      </c>
      <c r="H119" s="1" t="n">
        <v>2</v>
      </c>
      <c r="J119" s="12" t="n">
        <v>1825</v>
      </c>
      <c r="K119" s="12" t="n">
        <v>912.5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 t="n">
        <v>912.5</v>
      </c>
      <c r="Y119" s="12" t="n">
        <f aca="false">82.13+82.13</f>
        <v>164.26</v>
      </c>
      <c r="Z119" s="11" t="n">
        <f aca="false">X119+Y119</f>
        <v>1076.76</v>
      </c>
      <c r="AA119" s="13" t="s">
        <v>38</v>
      </c>
    </row>
    <row r="120" customFormat="false" ht="13.8" hidden="false" customHeight="false" outlineLevel="0" collapsed="false">
      <c r="A120" s="18"/>
      <c r="B120" s="18" t="n">
        <v>12813361</v>
      </c>
      <c r="C120" s="19" t="n">
        <v>0.951388888888889</v>
      </c>
      <c r="D120" s="20" t="n">
        <v>44503</v>
      </c>
      <c r="E120" s="18" t="s">
        <v>27</v>
      </c>
      <c r="F120" s="18" t="n">
        <v>6949</v>
      </c>
      <c r="G120" s="18" t="n">
        <v>9</v>
      </c>
      <c r="H120" s="18" t="n">
        <v>9</v>
      </c>
      <c r="I120" s="18"/>
      <c r="J120" s="18" t="n">
        <v>10800</v>
      </c>
      <c r="K120" s="18" t="n">
        <v>5400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 t="n">
        <v>5400</v>
      </c>
      <c r="Y120" s="18" t="n">
        <f aca="false">486+486</f>
        <v>972</v>
      </c>
      <c r="Z120" s="21" t="n">
        <f aca="false">X120+Y120</f>
        <v>6372</v>
      </c>
      <c r="AA120" s="18" t="n">
        <v>277</v>
      </c>
    </row>
    <row r="121" customFormat="false" ht="13.8" hidden="false" customHeight="false" outlineLevel="0" collapsed="false">
      <c r="A121" s="18"/>
      <c r="B121" s="18" t="n">
        <v>12813361</v>
      </c>
      <c r="C121" s="19" t="n">
        <v>0.925</v>
      </c>
      <c r="D121" s="20" t="n">
        <v>44503</v>
      </c>
      <c r="E121" s="18" t="s">
        <v>27</v>
      </c>
      <c r="F121" s="18" t="n">
        <v>6949</v>
      </c>
      <c r="G121" s="18" t="n">
        <v>9</v>
      </c>
      <c r="H121" s="18" t="n">
        <v>9</v>
      </c>
      <c r="I121" s="18"/>
      <c r="J121" s="18" t="n">
        <v>10800</v>
      </c>
      <c r="K121" s="18" t="n">
        <v>5400</v>
      </c>
      <c r="L121" s="18" t="n">
        <v>1050</v>
      </c>
      <c r="M121" s="18" t="n">
        <v>210</v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 t="n">
        <v>62420</v>
      </c>
      <c r="Y121" s="18" t="n">
        <f aca="false">561.6+561.6</f>
        <v>1123.2</v>
      </c>
      <c r="Z121" s="21" t="n">
        <f aca="false">X121+Y121</f>
        <v>63543.2</v>
      </c>
      <c r="AA121" s="18" t="n">
        <v>277</v>
      </c>
    </row>
    <row r="122" customFormat="false" ht="13.8" hidden="false" customHeight="false" outlineLevel="0" collapsed="false">
      <c r="A122" s="15"/>
      <c r="B122" s="15" t="n">
        <v>12813361</v>
      </c>
      <c r="C122" s="16" t="n">
        <v>0.590277777777778</v>
      </c>
      <c r="D122" s="17" t="n">
        <v>44502</v>
      </c>
      <c r="E122" s="15" t="s">
        <v>27</v>
      </c>
      <c r="F122" s="15" t="n">
        <v>6906</v>
      </c>
      <c r="G122" s="15" t="n">
        <v>4</v>
      </c>
      <c r="H122" s="15" t="n">
        <v>4</v>
      </c>
      <c r="I122" s="15"/>
      <c r="J122" s="15" t="n">
        <f aca="false">K122*5</f>
        <v>3050</v>
      </c>
      <c r="K122" s="15" t="n">
        <v>610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 t="n">
        <v>2440</v>
      </c>
      <c r="Y122" s="15" t="n">
        <f aca="false">219.6+219.6</f>
        <v>439.2</v>
      </c>
      <c r="Z122" s="22" t="n">
        <f aca="false">X122+Y122</f>
        <v>2879.2</v>
      </c>
      <c r="AA122" s="15" t="n">
        <v>330</v>
      </c>
    </row>
    <row r="123" customFormat="false" ht="13.8" hidden="false" customHeight="false" outlineLevel="0" collapsed="false">
      <c r="B123" s="2" t="n">
        <v>12813361</v>
      </c>
      <c r="C123" s="3" t="n">
        <v>0.577083333333333</v>
      </c>
      <c r="D123" s="4" t="n">
        <v>44602</v>
      </c>
      <c r="E123" s="1" t="s">
        <v>27</v>
      </c>
      <c r="F123" s="1" t="n">
        <v>6794</v>
      </c>
      <c r="G123" s="1" t="n">
        <v>4</v>
      </c>
      <c r="H123" s="1" t="n">
        <v>4</v>
      </c>
      <c r="J123" s="1" t="n">
        <f aca="false">K123*2</f>
        <v>2404.24</v>
      </c>
      <c r="K123" s="1" t="n">
        <v>1202.12</v>
      </c>
      <c r="X123" s="1" t="n">
        <v>3606</v>
      </c>
      <c r="Y123" s="1" t="n">
        <f aca="false">324.57+324.57</f>
        <v>649.14</v>
      </c>
      <c r="Z123" s="1" t="n">
        <f aca="false">X123+Y123</f>
        <v>4255.14</v>
      </c>
      <c r="AA123" s="1" t="n">
        <v>371</v>
      </c>
    </row>
    <row r="124" customFormat="false" ht="13.8" hidden="false" customHeight="false" outlineLevel="0" collapsed="false">
      <c r="B124" s="2" t="n">
        <v>12885951</v>
      </c>
      <c r="C124" s="3" t="n">
        <v>0.820833333333333</v>
      </c>
      <c r="D124" s="4" t="n">
        <v>44547</v>
      </c>
      <c r="E124" s="1" t="s">
        <v>30</v>
      </c>
      <c r="F124" s="1" t="n">
        <v>3629</v>
      </c>
      <c r="G124" s="1" t="n">
        <v>2</v>
      </c>
      <c r="H124" s="1" t="n">
        <v>2</v>
      </c>
      <c r="J124" s="1" t="n">
        <v>2550</v>
      </c>
      <c r="K124" s="1" t="n">
        <v>1275</v>
      </c>
      <c r="X124" s="1" t="n">
        <v>2943</v>
      </c>
      <c r="Y124" s="1" t="n">
        <v>588</v>
      </c>
      <c r="Z124" s="1" t="n">
        <f aca="false">X124+Y124</f>
        <v>3531</v>
      </c>
      <c r="AA124" s="1" t="n">
        <v>277</v>
      </c>
    </row>
    <row r="125" customFormat="false" ht="13.8" hidden="false" customHeight="false" outlineLevel="0" collapsed="false">
      <c r="B125" s="2" t="n">
        <v>12889271</v>
      </c>
      <c r="C125" s="3" t="n">
        <v>0.585416666666667</v>
      </c>
      <c r="D125" s="4" t="n">
        <v>44528</v>
      </c>
      <c r="E125" s="1" t="s">
        <v>27</v>
      </c>
      <c r="F125" s="1" t="n">
        <v>6863</v>
      </c>
      <c r="G125" s="1" t="n">
        <v>4</v>
      </c>
      <c r="H125" s="1" t="n">
        <v>4</v>
      </c>
      <c r="J125" s="1" t="n">
        <f aca="false">K125*2</f>
        <v>6146</v>
      </c>
      <c r="K125" s="1" t="n">
        <v>3073</v>
      </c>
      <c r="X125" s="1" t="n">
        <v>3073</v>
      </c>
      <c r="Y125" s="1" t="n">
        <f aca="false">276.57+276.57</f>
        <v>553.14</v>
      </c>
      <c r="Z125" s="11" t="n">
        <f aca="false">X125+Y125</f>
        <v>3626.14</v>
      </c>
      <c r="AA125" s="1" t="n">
        <v>277</v>
      </c>
    </row>
    <row r="126" customFormat="false" ht="13.8" hidden="false" customHeight="false" outlineLevel="0" collapsed="false">
      <c r="B126" s="2" t="n">
        <v>12938300</v>
      </c>
      <c r="C126" s="3" t="n">
        <v>0.852777777777778</v>
      </c>
      <c r="D126" s="4" t="n">
        <v>44607</v>
      </c>
      <c r="E126" s="1" t="s">
        <v>30</v>
      </c>
      <c r="F126" s="1" t="n">
        <v>3048</v>
      </c>
      <c r="G126" s="1" t="n">
        <v>8</v>
      </c>
      <c r="H126" s="1" t="n">
        <v>8</v>
      </c>
      <c r="O126" s="1" t="n">
        <f aca="false">P126*2</f>
        <v>20694</v>
      </c>
      <c r="P126" s="1" t="n">
        <v>10347</v>
      </c>
      <c r="X126" s="1" t="n">
        <v>11637</v>
      </c>
      <c r="Y126" s="1" t="n">
        <v>2273.5</v>
      </c>
      <c r="Z126" s="1" t="n">
        <f aca="false">X126+Y126</f>
        <v>13910.5</v>
      </c>
      <c r="AA126" s="1" t="n">
        <v>371</v>
      </c>
    </row>
    <row r="127" customFormat="false" ht="13.8" hidden="false" customHeight="false" outlineLevel="0" collapsed="false">
      <c r="B127" s="2" t="n">
        <v>12952141</v>
      </c>
      <c r="C127" s="3" t="n">
        <v>0.706944444444444</v>
      </c>
      <c r="D127" s="4" t="n">
        <v>44533</v>
      </c>
      <c r="E127" s="1" t="s">
        <v>27</v>
      </c>
      <c r="F127" s="1" t="n">
        <v>6058</v>
      </c>
      <c r="G127" s="1" t="n">
        <v>2</v>
      </c>
      <c r="H127" s="1" t="n">
        <v>2</v>
      </c>
      <c r="J127" s="1" t="n">
        <v>450</v>
      </c>
      <c r="K127" s="1" t="n">
        <v>67.5</v>
      </c>
      <c r="X127" s="1" t="n">
        <v>225</v>
      </c>
      <c r="Y127" s="1" t="n">
        <f aca="false">20.25+20.25</f>
        <v>40.5</v>
      </c>
      <c r="Z127" s="1" t="n">
        <f aca="false">X127+Y127</f>
        <v>265.5</v>
      </c>
      <c r="AA127" s="1" t="n">
        <v>277</v>
      </c>
    </row>
    <row r="128" customFormat="false" ht="13.8" hidden="false" customHeight="false" outlineLevel="0" collapsed="false">
      <c r="B128" s="2" t="n">
        <v>12952142</v>
      </c>
      <c r="C128" s="3" t="n">
        <v>0.870138888888889</v>
      </c>
      <c r="D128" s="4" t="n">
        <v>44533</v>
      </c>
      <c r="E128" s="1" t="s">
        <v>27</v>
      </c>
      <c r="F128" s="1" t="n">
        <v>6072</v>
      </c>
      <c r="G128" s="1" t="n">
        <v>2</v>
      </c>
      <c r="H128" s="1" t="n">
        <v>2</v>
      </c>
      <c r="J128" s="1" t="n">
        <v>2400</v>
      </c>
      <c r="K128" s="1" t="n">
        <v>1200</v>
      </c>
      <c r="X128" s="1" t="n">
        <v>1200</v>
      </c>
      <c r="Y128" s="1" t="n">
        <v>216</v>
      </c>
      <c r="Z128" s="1" t="n">
        <f aca="false">X128+Y128</f>
        <v>1416</v>
      </c>
      <c r="AA128" s="1" t="n">
        <v>277</v>
      </c>
    </row>
    <row r="129" customFormat="false" ht="13.8" hidden="false" customHeight="false" outlineLevel="0" collapsed="false">
      <c r="B129" s="2" t="n">
        <v>12966211</v>
      </c>
      <c r="C129" s="3" t="n">
        <v>0.375694444444444</v>
      </c>
      <c r="D129" s="4" t="n">
        <v>44475</v>
      </c>
      <c r="E129" s="1" t="s">
        <v>30</v>
      </c>
      <c r="F129" s="1" t="n">
        <v>3853</v>
      </c>
      <c r="G129" s="1" t="n">
        <v>2</v>
      </c>
      <c r="H129" s="1" t="n">
        <v>2</v>
      </c>
      <c r="J129" s="12" t="n">
        <v>5000</v>
      </c>
      <c r="K129" s="12" t="n">
        <v>1000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 t="n">
        <v>4000</v>
      </c>
      <c r="Y129" s="12" t="n">
        <v>800</v>
      </c>
      <c r="Z129" s="11" t="n">
        <f aca="false">X129+Y129</f>
        <v>4800</v>
      </c>
      <c r="AA129" s="13" t="s">
        <v>39</v>
      </c>
    </row>
    <row r="130" customFormat="false" ht="13.8" hidden="false" customHeight="false" outlineLevel="0" collapsed="false">
      <c r="B130" s="2" t="n">
        <v>12986211</v>
      </c>
      <c r="C130" s="3" t="n">
        <v>0.909027777777778</v>
      </c>
      <c r="D130" s="4" t="n">
        <v>44517</v>
      </c>
      <c r="E130" s="1" t="s">
        <v>27</v>
      </c>
      <c r="F130" s="1" t="n">
        <v>6450</v>
      </c>
      <c r="G130" s="1" t="n">
        <v>2</v>
      </c>
      <c r="H130" s="1" t="n">
        <v>2</v>
      </c>
      <c r="J130" s="1" t="n">
        <v>1300</v>
      </c>
      <c r="K130" s="1" t="n">
        <v>650</v>
      </c>
      <c r="X130" s="1" t="n">
        <v>650</v>
      </c>
      <c r="Y130" s="1" t="n">
        <f aca="false">58.5+58.5</f>
        <v>117</v>
      </c>
      <c r="Z130" s="11" t="n">
        <f aca="false">X130+Y130</f>
        <v>767</v>
      </c>
      <c r="AA130" s="1" t="n">
        <v>363</v>
      </c>
    </row>
    <row r="131" customFormat="false" ht="13.8" hidden="false" customHeight="false" outlineLevel="0" collapsed="false">
      <c r="B131" s="2" t="n">
        <v>12986211</v>
      </c>
      <c r="C131" s="3" t="n">
        <v>0.9</v>
      </c>
      <c r="D131" s="4" t="n">
        <v>44517</v>
      </c>
      <c r="E131" s="1" t="s">
        <v>30</v>
      </c>
      <c r="F131" s="1" t="n">
        <v>3316</v>
      </c>
      <c r="G131" s="1" t="n">
        <v>2</v>
      </c>
      <c r="H131" s="1" t="n">
        <v>2</v>
      </c>
      <c r="P131" s="1" t="n">
        <f aca="false">Q131*5</f>
        <v>4125</v>
      </c>
      <c r="Q131" s="1" t="n">
        <v>825</v>
      </c>
      <c r="X131" s="1" t="n">
        <v>3300</v>
      </c>
      <c r="Y131" s="1" t="n">
        <v>660</v>
      </c>
      <c r="Z131" s="11" t="n">
        <f aca="false">X131+Y131</f>
        <v>3960</v>
      </c>
      <c r="AA131" s="1" t="n">
        <v>340</v>
      </c>
    </row>
    <row r="132" customFormat="false" ht="13.8" hidden="false" customHeight="false" outlineLevel="0" collapsed="false">
      <c r="B132" s="2" t="n">
        <v>13146451</v>
      </c>
      <c r="C132" s="3" t="n">
        <v>0.145138888888889</v>
      </c>
      <c r="D132" s="4" t="n">
        <v>44415</v>
      </c>
      <c r="E132" s="1" t="s">
        <v>27</v>
      </c>
      <c r="F132" s="1" t="n">
        <v>6434</v>
      </c>
      <c r="G132" s="1" t="n">
        <v>2</v>
      </c>
      <c r="H132" s="1" t="n">
        <v>2</v>
      </c>
      <c r="J132" s="12" t="n">
        <v>2598</v>
      </c>
      <c r="K132" s="12" t="n">
        <v>1299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 t="n">
        <v>1299</v>
      </c>
      <c r="Y132" s="12" t="n">
        <f aca="false">116.91+116.91</f>
        <v>233.82</v>
      </c>
      <c r="Z132" s="11" t="n">
        <f aca="false">X132+Y132</f>
        <v>1532.82</v>
      </c>
      <c r="AA132" s="13" t="s">
        <v>33</v>
      </c>
    </row>
    <row r="133" customFormat="false" ht="13.8" hidden="false" customHeight="false" outlineLevel="0" collapsed="false">
      <c r="B133" s="2" t="n">
        <v>13813361</v>
      </c>
      <c r="C133" s="3" t="n">
        <v>0.819444444444444</v>
      </c>
      <c r="D133" s="4" t="n">
        <v>44600</v>
      </c>
      <c r="E133" s="1" t="s">
        <v>27</v>
      </c>
      <c r="F133" s="1" t="n">
        <v>6732</v>
      </c>
      <c r="G133" s="1" t="n">
        <v>2</v>
      </c>
      <c r="H133" s="1" t="n">
        <v>2</v>
      </c>
      <c r="J133" s="1" t="n">
        <v>10800</v>
      </c>
      <c r="K133" s="1" t="n">
        <v>5400</v>
      </c>
      <c r="X133" s="1" t="n">
        <v>5400</v>
      </c>
      <c r="Y133" s="1" t="n">
        <f aca="false">486+486</f>
        <v>972</v>
      </c>
      <c r="Z133" s="1" t="n">
        <f aca="false">X133+Y133</f>
        <v>6372</v>
      </c>
      <c r="AA133" s="1" t="n">
        <v>363</v>
      </c>
    </row>
    <row r="134" customFormat="false" ht="13.8" hidden="false" customHeight="false" outlineLevel="0" collapsed="false">
      <c r="B134" s="2" t="n">
        <v>14000000</v>
      </c>
      <c r="C134" s="3" t="n">
        <v>0.916666666666667</v>
      </c>
      <c r="D134" s="4" t="n">
        <v>44510</v>
      </c>
      <c r="E134" s="1" t="s">
        <v>27</v>
      </c>
      <c r="F134" s="1" t="n">
        <v>6185</v>
      </c>
      <c r="G134" s="1" t="n">
        <v>2</v>
      </c>
      <c r="H134" s="1" t="n">
        <v>2</v>
      </c>
      <c r="J134" s="1" t="n">
        <v>2400</v>
      </c>
      <c r="K134" s="1" t="n">
        <v>1200</v>
      </c>
      <c r="X134" s="1" t="n">
        <v>1200</v>
      </c>
      <c r="Y134" s="1" t="n">
        <v>216</v>
      </c>
      <c r="Z134" s="11" t="n">
        <f aca="false">X134+Y134</f>
        <v>1416</v>
      </c>
      <c r="AA134" s="1" t="n">
        <v>277</v>
      </c>
    </row>
    <row r="135" customFormat="false" ht="13.8" hidden="false" customHeight="false" outlineLevel="0" collapsed="false">
      <c r="B135" s="2" t="n">
        <v>14000000</v>
      </c>
      <c r="C135" s="3" t="n">
        <v>0.865277777777778</v>
      </c>
      <c r="D135" s="4" t="n">
        <v>44610</v>
      </c>
      <c r="E135" s="1" t="s">
        <v>30</v>
      </c>
      <c r="F135" s="1" t="n">
        <v>3087</v>
      </c>
      <c r="G135" s="1" t="n">
        <v>3</v>
      </c>
      <c r="H135" s="1" t="n">
        <v>3</v>
      </c>
      <c r="J135" s="1" t="n">
        <v>5000</v>
      </c>
      <c r="K135" s="1" t="n">
        <v>1000</v>
      </c>
      <c r="X135" s="1" t="n">
        <v>4000</v>
      </c>
      <c r="Y135" s="1" t="n">
        <v>800</v>
      </c>
      <c r="Z135" s="1" t="n">
        <f aca="false">X135+Y135</f>
        <v>4800</v>
      </c>
      <c r="AA135" s="1" t="n">
        <v>371</v>
      </c>
    </row>
    <row r="136" customFormat="false" ht="13.8" hidden="false" customHeight="false" outlineLevel="0" collapsed="false">
      <c r="B136" s="2" t="n">
        <v>14086761</v>
      </c>
      <c r="C136" s="3" t="n">
        <v>0.83125</v>
      </c>
      <c r="D136" s="4" t="n">
        <v>44568</v>
      </c>
      <c r="E136" s="1" t="s">
        <v>27</v>
      </c>
      <c r="F136" s="1" t="n">
        <v>6423</v>
      </c>
      <c r="G136" s="1" t="n">
        <v>1</v>
      </c>
      <c r="H136" s="1" t="n">
        <v>1</v>
      </c>
      <c r="J136" s="1" t="n">
        <v>500</v>
      </c>
      <c r="K136" s="1" t="n">
        <v>250</v>
      </c>
      <c r="X136" s="1" t="n">
        <v>250</v>
      </c>
      <c r="Y136" s="1" t="n">
        <f aca="false">22.5+22.5</f>
        <v>45</v>
      </c>
      <c r="Z136" s="1" t="n">
        <f aca="false">X136+Y136</f>
        <v>295</v>
      </c>
      <c r="AA136" s="1" t="n">
        <v>362</v>
      </c>
    </row>
    <row r="137" customFormat="false" ht="13.8" hidden="false" customHeight="false" outlineLevel="0" collapsed="false">
      <c r="B137" s="2" t="n">
        <v>14116841</v>
      </c>
      <c r="C137" s="3" t="n">
        <v>0.397916666666667</v>
      </c>
      <c r="D137" s="4" t="n">
        <v>44450</v>
      </c>
      <c r="E137" s="1" t="s">
        <v>27</v>
      </c>
      <c r="F137" s="1" t="n">
        <v>6766</v>
      </c>
      <c r="G137" s="1" t="n">
        <v>2</v>
      </c>
      <c r="H137" s="1" t="n">
        <v>2</v>
      </c>
      <c r="J137" s="12" t="n">
        <v>1150</v>
      </c>
      <c r="K137" s="12" t="n">
        <v>575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 t="n">
        <v>575</v>
      </c>
      <c r="Y137" s="12" t="n">
        <f aca="false">51.75+51.75</f>
        <v>103.5</v>
      </c>
      <c r="Z137" s="11" t="n">
        <f aca="false">X137+Y137</f>
        <v>678.5</v>
      </c>
      <c r="AA137" s="13" t="s">
        <v>31</v>
      </c>
    </row>
    <row r="138" customFormat="false" ht="13.8" hidden="false" customHeight="false" outlineLevel="0" collapsed="false">
      <c r="B138" s="2" t="n">
        <v>14200051</v>
      </c>
      <c r="C138" s="3" t="n">
        <v>0.316666666666667</v>
      </c>
      <c r="D138" s="4" t="n">
        <v>44402</v>
      </c>
      <c r="E138" s="1" t="s">
        <v>27</v>
      </c>
      <c r="F138" s="1" t="n">
        <v>6087</v>
      </c>
      <c r="G138" s="1" t="n">
        <v>1</v>
      </c>
      <c r="H138" s="1" t="n">
        <v>1</v>
      </c>
      <c r="J138" s="12" t="n">
        <v>1100</v>
      </c>
      <c r="K138" s="12" t="n">
        <v>550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1"/>
      <c r="X138" s="11" t="n">
        <v>550</v>
      </c>
      <c r="Y138" s="11" t="n">
        <v>99</v>
      </c>
      <c r="Z138" s="11" t="n">
        <f aca="false">X138+Y138</f>
        <v>649</v>
      </c>
      <c r="AA138" s="11" t="n">
        <v>758</v>
      </c>
    </row>
    <row r="139" customFormat="false" ht="13.8" hidden="false" customHeight="false" outlineLevel="0" collapsed="false">
      <c r="B139" s="2" t="n">
        <v>14200091</v>
      </c>
      <c r="C139" s="3" t="n">
        <v>0.347916666666667</v>
      </c>
      <c r="D139" s="4" t="n">
        <v>44519</v>
      </c>
      <c r="E139" s="1" t="s">
        <v>27</v>
      </c>
      <c r="F139" s="1" t="n">
        <v>6490</v>
      </c>
      <c r="G139" s="1" t="n">
        <v>2</v>
      </c>
      <c r="H139" s="1" t="n">
        <v>2</v>
      </c>
      <c r="J139" s="1" t="n">
        <v>1398</v>
      </c>
      <c r="K139" s="1" t="n">
        <v>699</v>
      </c>
      <c r="X139" s="1" t="n">
        <v>699</v>
      </c>
      <c r="Y139" s="1" t="n">
        <f aca="false">62.91+62.91</f>
        <v>125.82</v>
      </c>
      <c r="Z139" s="11" t="n">
        <f aca="false">X139+Y139</f>
        <v>824.82</v>
      </c>
      <c r="AA139" s="1" t="n">
        <v>277</v>
      </c>
    </row>
    <row r="140" customFormat="false" ht="13.8" hidden="false" customHeight="false" outlineLevel="0" collapsed="false">
      <c r="B140" s="2" t="n">
        <v>14282011</v>
      </c>
      <c r="C140" s="3" t="n">
        <v>0.631944444444444</v>
      </c>
      <c r="D140" s="4" t="n">
        <v>44530</v>
      </c>
      <c r="E140" s="1" t="s">
        <v>27</v>
      </c>
      <c r="F140" s="1" t="n">
        <v>6937</v>
      </c>
      <c r="G140" s="1" t="n">
        <v>2</v>
      </c>
      <c r="H140" s="1" t="n">
        <v>2</v>
      </c>
      <c r="J140" s="1" t="n">
        <v>2000</v>
      </c>
      <c r="K140" s="1" t="n">
        <v>1000</v>
      </c>
      <c r="X140" s="1" t="n">
        <v>1000</v>
      </c>
      <c r="Y140" s="1" t="n">
        <v>180</v>
      </c>
      <c r="Z140" s="1" t="n">
        <f aca="false">X140+Y140</f>
        <v>1180</v>
      </c>
      <c r="AA140" s="1" t="n">
        <v>277</v>
      </c>
    </row>
    <row r="141" customFormat="false" ht="13.8" hidden="false" customHeight="false" outlineLevel="0" collapsed="false">
      <c r="B141" s="2" t="n">
        <v>14297891</v>
      </c>
      <c r="C141" s="3" t="n">
        <v>0.866666666666667</v>
      </c>
      <c r="D141" s="4" t="n">
        <v>44551</v>
      </c>
      <c r="E141" s="1" t="s">
        <v>30</v>
      </c>
      <c r="F141" s="1" t="n">
        <v>3693</v>
      </c>
      <c r="G141" s="1" t="n">
        <v>1</v>
      </c>
      <c r="H141" s="1" t="n">
        <v>1</v>
      </c>
      <c r="O141" s="1" t="n">
        <v>1300</v>
      </c>
      <c r="P141" s="1" t="n">
        <v>650</v>
      </c>
      <c r="X141" s="1" t="n">
        <v>650</v>
      </c>
      <c r="Y141" s="1" t="n">
        <v>130</v>
      </c>
      <c r="Z141" s="1" t="n">
        <f aca="false">X141+Y141</f>
        <v>780</v>
      </c>
      <c r="AA141" s="1" t="n">
        <v>277</v>
      </c>
    </row>
    <row r="142" customFormat="false" ht="13.8" hidden="false" customHeight="false" outlineLevel="0" collapsed="false">
      <c r="B142" s="2" t="n">
        <v>14307261</v>
      </c>
      <c r="C142" s="3" t="n">
        <v>0.0583333333333333</v>
      </c>
      <c r="D142" s="4" t="n">
        <v>44448</v>
      </c>
      <c r="E142" s="1" t="s">
        <v>30</v>
      </c>
      <c r="F142" s="1" t="n">
        <v>3575</v>
      </c>
      <c r="G142" s="1" t="n">
        <v>1</v>
      </c>
      <c r="H142" s="1" t="n">
        <v>1</v>
      </c>
      <c r="J142" s="12" t="n">
        <v>500</v>
      </c>
      <c r="K142" s="12" t="n">
        <v>100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 t="n">
        <v>400</v>
      </c>
      <c r="Y142" s="12" t="n">
        <v>80</v>
      </c>
      <c r="Z142" s="11" t="n">
        <f aca="false">X142+Y142</f>
        <v>480</v>
      </c>
      <c r="AA142" s="13" t="s">
        <v>29</v>
      </c>
    </row>
    <row r="143" customFormat="false" ht="13.8" hidden="false" customHeight="false" outlineLevel="0" collapsed="false">
      <c r="B143" s="2" t="n">
        <v>14323221</v>
      </c>
      <c r="C143" s="3" t="n">
        <v>0.830555555555556</v>
      </c>
      <c r="D143" s="4" t="n">
        <v>44504</v>
      </c>
      <c r="E143" s="1" t="s">
        <v>27</v>
      </c>
      <c r="F143" s="1" t="n">
        <v>6978</v>
      </c>
      <c r="G143" s="1" t="n">
        <v>2</v>
      </c>
      <c r="H143" s="1" t="n">
        <v>2</v>
      </c>
      <c r="J143" s="1" t="n">
        <f aca="false">K143*5</f>
        <v>6050</v>
      </c>
      <c r="K143" s="1" t="n">
        <v>1210</v>
      </c>
      <c r="L143" s="1" t="n">
        <f aca="false">M143*5</f>
        <v>350</v>
      </c>
      <c r="M143" s="1" t="n">
        <v>70</v>
      </c>
      <c r="X143" s="1" t="n">
        <v>5120</v>
      </c>
      <c r="Y143" s="1" t="n">
        <f aca="false">460.8+460.8</f>
        <v>921.6</v>
      </c>
      <c r="Z143" s="11" t="n">
        <f aca="false">X143+Y143</f>
        <v>6041.6</v>
      </c>
      <c r="AA143" s="1" t="n">
        <v>277</v>
      </c>
    </row>
    <row r="144" customFormat="false" ht="13.8" hidden="false" customHeight="false" outlineLevel="0" collapsed="false">
      <c r="B144" s="2" t="n">
        <v>14323221</v>
      </c>
      <c r="C144" s="3" t="n">
        <v>0.845138888888889</v>
      </c>
      <c r="D144" s="4" t="n">
        <v>44502</v>
      </c>
      <c r="E144" s="1" t="s">
        <v>27</v>
      </c>
      <c r="F144" s="1" t="n">
        <v>6925</v>
      </c>
      <c r="G144" s="1" t="n">
        <v>2</v>
      </c>
      <c r="H144" s="1" t="n">
        <v>2</v>
      </c>
      <c r="J144" s="1" t="n">
        <v>1050</v>
      </c>
      <c r="K144" s="1" t="n">
        <v>525</v>
      </c>
      <c r="X144" s="1" t="n">
        <v>525</v>
      </c>
      <c r="Y144" s="1" t="n">
        <f aca="false">47.25+47.25</f>
        <v>94.5</v>
      </c>
      <c r="Z144" s="11" t="n">
        <f aca="false">X144+Y144</f>
        <v>619.5</v>
      </c>
      <c r="AA144" s="1" t="n">
        <v>763</v>
      </c>
    </row>
    <row r="145" customFormat="false" ht="13.8" hidden="false" customHeight="false" outlineLevel="0" collapsed="false">
      <c r="B145" s="2" t="n">
        <v>14323221</v>
      </c>
      <c r="C145" s="3" t="n">
        <v>0.611111111111111</v>
      </c>
      <c r="D145" s="4" t="n">
        <v>44553</v>
      </c>
      <c r="E145" s="1" t="s">
        <v>27</v>
      </c>
      <c r="F145" s="1" t="n">
        <v>6835</v>
      </c>
      <c r="G145" s="1" t="n">
        <v>2</v>
      </c>
      <c r="H145" s="1" t="n">
        <v>2</v>
      </c>
      <c r="J145" s="1" t="n">
        <f aca="false">K145*2</f>
        <v>2300</v>
      </c>
      <c r="K145" s="1" t="n">
        <v>1150</v>
      </c>
      <c r="X145" s="1" t="n">
        <v>1150</v>
      </c>
      <c r="Y145" s="1" t="n">
        <f aca="false">103.5+103.5</f>
        <v>207</v>
      </c>
      <c r="Z145" s="1" t="n">
        <f aca="false">X145+Y145</f>
        <v>1357</v>
      </c>
      <c r="AA145" s="1" t="n">
        <v>277</v>
      </c>
    </row>
    <row r="146" customFormat="false" ht="13.8" hidden="false" customHeight="false" outlineLevel="0" collapsed="false">
      <c r="B146" s="2" t="n">
        <v>14323221</v>
      </c>
      <c r="C146" s="3" t="n">
        <v>0.333333333333333</v>
      </c>
      <c r="D146" s="4" t="n">
        <v>44477</v>
      </c>
      <c r="E146" s="1" t="s">
        <v>27</v>
      </c>
      <c r="F146" s="1" t="n">
        <v>6823</v>
      </c>
      <c r="G146" s="1" t="n">
        <v>1</v>
      </c>
      <c r="H146" s="1" t="n">
        <v>1</v>
      </c>
      <c r="J146" s="12" t="n">
        <v>550</v>
      </c>
      <c r="K146" s="12" t="n">
        <v>110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 t="n">
        <v>440</v>
      </c>
      <c r="Y146" s="12" t="n">
        <f aca="false">39.6+39.6</f>
        <v>79.2</v>
      </c>
      <c r="Z146" s="11" t="n">
        <f aca="false">X146+Y146</f>
        <v>519.2</v>
      </c>
      <c r="AA146" s="13" t="s">
        <v>40</v>
      </c>
    </row>
    <row r="147" customFormat="false" ht="13.8" hidden="false" customHeight="false" outlineLevel="0" collapsed="false">
      <c r="B147" s="2" t="n">
        <v>14323221</v>
      </c>
      <c r="C147" s="3" t="n">
        <v>0.823611111111111</v>
      </c>
      <c r="D147" s="4" t="n">
        <v>44525</v>
      </c>
      <c r="E147" s="1" t="s">
        <v>27</v>
      </c>
      <c r="F147" s="1" t="n">
        <v>6722</v>
      </c>
      <c r="G147" s="1" t="n">
        <v>2</v>
      </c>
      <c r="H147" s="1" t="n">
        <v>2</v>
      </c>
      <c r="J147" s="1" t="n">
        <v>1350</v>
      </c>
      <c r="K147" s="1" t="n">
        <v>625</v>
      </c>
      <c r="X147" s="1" t="n">
        <v>975</v>
      </c>
      <c r="Y147" s="1" t="n">
        <f aca="false">87.75+87.75</f>
        <v>175.5</v>
      </c>
      <c r="Z147" s="11" t="n">
        <f aca="false">X147+Y147</f>
        <v>1150.5</v>
      </c>
      <c r="AA147" s="1" t="n">
        <v>277</v>
      </c>
    </row>
    <row r="148" customFormat="false" ht="13.8" hidden="false" customHeight="false" outlineLevel="0" collapsed="false">
      <c r="B148" s="2" t="n">
        <v>14323221</v>
      </c>
      <c r="C148" s="3" t="n">
        <v>0.854861111111111</v>
      </c>
      <c r="D148" s="4" t="n">
        <v>44519</v>
      </c>
      <c r="E148" s="1" t="s">
        <v>27</v>
      </c>
      <c r="F148" s="1" t="n">
        <v>6523</v>
      </c>
      <c r="G148" s="1" t="n">
        <v>2</v>
      </c>
      <c r="H148" s="1" t="n">
        <v>2</v>
      </c>
      <c r="J148" s="1" t="n">
        <v>1625</v>
      </c>
      <c r="K148" s="1" t="n">
        <v>812.5</v>
      </c>
      <c r="X148" s="1" t="n">
        <v>812.5</v>
      </c>
      <c r="Y148" s="1" t="n">
        <f aca="false">73.13+73.13</f>
        <v>146.26</v>
      </c>
      <c r="Z148" s="11" t="n">
        <f aca="false">X148+Y148</f>
        <v>958.76</v>
      </c>
      <c r="AA148" s="1" t="n">
        <v>277</v>
      </c>
    </row>
    <row r="149" customFormat="false" ht="13.8" hidden="false" customHeight="false" outlineLevel="0" collapsed="false">
      <c r="B149" s="2" t="n">
        <v>14323221</v>
      </c>
      <c r="C149" s="3" t="n">
        <v>0.58125</v>
      </c>
      <c r="D149" s="4" t="n">
        <v>44492</v>
      </c>
      <c r="E149" s="1" t="s">
        <v>27</v>
      </c>
      <c r="F149" s="1" t="n">
        <v>6472</v>
      </c>
      <c r="G149" s="1" t="n">
        <v>1</v>
      </c>
      <c r="H149" s="1" t="n">
        <v>1</v>
      </c>
      <c r="J149" s="1" t="n">
        <v>425</v>
      </c>
      <c r="K149" s="1" t="n">
        <v>85</v>
      </c>
      <c r="X149" s="1" t="n">
        <v>340</v>
      </c>
      <c r="Y149" s="1" t="n">
        <f aca="false">30.6+30.6</f>
        <v>61.2</v>
      </c>
      <c r="Z149" s="11" t="n">
        <f aca="false">X149+Y149</f>
        <v>401.2</v>
      </c>
      <c r="AA149" s="1" t="n">
        <v>277</v>
      </c>
    </row>
    <row r="150" customFormat="false" ht="13.8" hidden="false" customHeight="false" outlineLevel="0" collapsed="false">
      <c r="B150" s="2" t="n">
        <v>14323221</v>
      </c>
      <c r="C150" s="3" t="n">
        <v>0.757638888888889</v>
      </c>
      <c r="D150" s="4" t="n">
        <v>44517</v>
      </c>
      <c r="E150" s="1" t="s">
        <v>27</v>
      </c>
      <c r="F150" s="1" t="n">
        <v>6435</v>
      </c>
      <c r="G150" s="1" t="n">
        <v>2</v>
      </c>
      <c r="H150" s="1" t="n">
        <v>2</v>
      </c>
      <c r="J150" s="1" t="n">
        <v>500</v>
      </c>
      <c r="K150" s="1" t="n">
        <v>250</v>
      </c>
      <c r="X150" s="1" t="n">
        <v>400</v>
      </c>
      <c r="Y150" s="1" t="n">
        <f aca="false">36+360</f>
        <v>396</v>
      </c>
      <c r="Z150" s="11" t="n">
        <f aca="false">X150+Y150</f>
        <v>796</v>
      </c>
      <c r="AA150" s="1" t="n">
        <v>277</v>
      </c>
    </row>
    <row r="151" customFormat="false" ht="13.8" hidden="false" customHeight="false" outlineLevel="0" collapsed="false">
      <c r="B151" s="2" t="n">
        <v>14323221</v>
      </c>
      <c r="C151" s="3" t="n">
        <v>0.0666666666666667</v>
      </c>
      <c r="D151" s="4" t="n">
        <v>44468</v>
      </c>
      <c r="E151" s="1" t="s">
        <v>27</v>
      </c>
      <c r="F151" s="1" t="n">
        <v>6422</v>
      </c>
      <c r="G151" s="1" t="n">
        <v>1</v>
      </c>
      <c r="H151" s="1" t="n">
        <v>1</v>
      </c>
      <c r="J151" s="12" t="n">
        <v>700</v>
      </c>
      <c r="K151" s="12" t="n">
        <v>350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 t="n">
        <v>350</v>
      </c>
      <c r="Y151" s="12" t="n">
        <f aca="false">31.5+31.5</f>
        <v>63</v>
      </c>
      <c r="Z151" s="11" t="n">
        <f aca="false">X151+Y151</f>
        <v>413</v>
      </c>
      <c r="AA151" s="13" t="s">
        <v>41</v>
      </c>
    </row>
    <row r="152" customFormat="false" ht="13.8" hidden="false" customHeight="false" outlineLevel="0" collapsed="false">
      <c r="B152" s="2" t="n">
        <v>14323221</v>
      </c>
      <c r="C152" s="3" t="n">
        <v>0.911111111111111</v>
      </c>
      <c r="D152" s="4" t="n">
        <v>44515</v>
      </c>
      <c r="E152" s="1" t="s">
        <v>27</v>
      </c>
      <c r="F152" s="1" t="n">
        <v>6371</v>
      </c>
      <c r="G152" s="1" t="n">
        <v>1</v>
      </c>
      <c r="H152" s="1" t="n">
        <v>1</v>
      </c>
      <c r="J152" s="1" t="n">
        <v>425</v>
      </c>
      <c r="K152" s="1" t="n">
        <v>85</v>
      </c>
      <c r="X152" s="1" t="n">
        <v>340</v>
      </c>
      <c r="Y152" s="1" t="n">
        <f aca="false">30.6+30.6</f>
        <v>61.2</v>
      </c>
      <c r="Z152" s="11" t="n">
        <f aca="false">X152+Y152</f>
        <v>401.2</v>
      </c>
      <c r="AA152" s="1" t="n">
        <v>277</v>
      </c>
    </row>
    <row r="153" customFormat="false" ht="13.8" hidden="false" customHeight="false" outlineLevel="0" collapsed="false">
      <c r="B153" s="2" t="n">
        <v>14323221</v>
      </c>
      <c r="C153" s="3" t="n">
        <v>0.777083333333333</v>
      </c>
      <c r="D153" s="4" t="n">
        <v>44564</v>
      </c>
      <c r="E153" s="1" t="s">
        <v>27</v>
      </c>
      <c r="F153" s="1" t="n">
        <v>6330</v>
      </c>
      <c r="G153" s="1" t="n">
        <v>1</v>
      </c>
      <c r="H153" s="1" t="n">
        <v>1</v>
      </c>
      <c r="J153" s="1" t="n">
        <v>200</v>
      </c>
      <c r="K153" s="1" t="n">
        <v>100</v>
      </c>
      <c r="L153" s="1" t="n">
        <v>350</v>
      </c>
      <c r="M153" s="1" t="n">
        <v>70</v>
      </c>
      <c r="X153" s="1" t="n">
        <v>380</v>
      </c>
      <c r="Y153" s="1" t="n">
        <f aca="false">34.2+34.2</f>
        <v>68.4</v>
      </c>
      <c r="Z153" s="1" t="n">
        <f aca="false">X153+Y153</f>
        <v>448.4</v>
      </c>
      <c r="AA153" s="1" t="n">
        <v>371</v>
      </c>
    </row>
    <row r="154" customFormat="false" ht="13.8" hidden="false" customHeight="false" outlineLevel="0" collapsed="false">
      <c r="B154" s="2" t="n">
        <v>14323221</v>
      </c>
      <c r="C154" s="3" t="n">
        <v>0.325</v>
      </c>
      <c r="D154" s="4" t="n">
        <v>44464</v>
      </c>
      <c r="E154" s="1" t="s">
        <v>27</v>
      </c>
      <c r="F154" s="1" t="n">
        <v>6280</v>
      </c>
      <c r="G154" s="1" t="n">
        <v>1</v>
      </c>
      <c r="H154" s="1" t="n">
        <v>1</v>
      </c>
      <c r="J154" s="12" t="n">
        <v>550</v>
      </c>
      <c r="K154" s="12" t="n">
        <v>275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 t="n">
        <v>275</v>
      </c>
      <c r="Y154" s="12" t="n">
        <f aca="false">24.75+24.75</f>
        <v>49.5</v>
      </c>
      <c r="Z154" s="11" t="n">
        <f aca="false">X154+Y154</f>
        <v>324.5</v>
      </c>
      <c r="AA154" s="13" t="s">
        <v>31</v>
      </c>
    </row>
    <row r="155" s="15" customFormat="true" ht="13.8" hidden="false" customHeight="false" outlineLevel="0" collapsed="false">
      <c r="A155" s="1"/>
      <c r="B155" s="2" t="n">
        <v>14323221</v>
      </c>
      <c r="C155" s="3" t="n">
        <v>0.107638888888889</v>
      </c>
      <c r="D155" s="4" t="n">
        <v>44464</v>
      </c>
      <c r="E155" s="1" t="s">
        <v>27</v>
      </c>
      <c r="F155" s="1" t="n">
        <v>6268</v>
      </c>
      <c r="G155" s="1" t="n">
        <v>2</v>
      </c>
      <c r="H155" s="1" t="n">
        <v>2</v>
      </c>
      <c r="I155" s="1"/>
      <c r="J155" s="12" t="n">
        <v>425</v>
      </c>
      <c r="K155" s="12" t="n">
        <v>212.5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 t="n">
        <v>212.5</v>
      </c>
      <c r="Y155" s="12" t="n">
        <f aca="false">19.13+19.13</f>
        <v>38.26</v>
      </c>
      <c r="Z155" s="11" t="n">
        <f aca="false">X155+Y155</f>
        <v>250.76</v>
      </c>
      <c r="AA155" s="13" t="s">
        <v>31</v>
      </c>
    </row>
    <row r="156" customFormat="false" ht="13.8" hidden="false" customHeight="false" outlineLevel="0" collapsed="false">
      <c r="B156" s="2" t="n">
        <v>14323221</v>
      </c>
      <c r="C156" s="3" t="n">
        <v>0.714583333333333</v>
      </c>
      <c r="D156" s="4" t="n">
        <v>44562</v>
      </c>
      <c r="E156" s="1" t="s">
        <v>27</v>
      </c>
      <c r="F156" s="1" t="n">
        <v>6245</v>
      </c>
      <c r="G156" s="1" t="n">
        <v>2</v>
      </c>
      <c r="H156" s="1" t="n">
        <v>2</v>
      </c>
      <c r="J156" s="1" t="n">
        <v>300</v>
      </c>
      <c r="K156" s="1" t="n">
        <v>150</v>
      </c>
      <c r="L156" s="1" t="n">
        <v>350</v>
      </c>
      <c r="M156" s="1" t="n">
        <v>175</v>
      </c>
      <c r="X156" s="1" t="n">
        <v>325</v>
      </c>
      <c r="Y156" s="1" t="n">
        <f aca="false">29.65+29.65</f>
        <v>59.3</v>
      </c>
      <c r="Z156" s="1" t="n">
        <f aca="false">X156+Y156</f>
        <v>384.3</v>
      </c>
      <c r="AA156" s="1" t="n">
        <v>277</v>
      </c>
    </row>
    <row r="157" customFormat="false" ht="13.8" hidden="false" customHeight="false" outlineLevel="0" collapsed="false">
      <c r="B157" s="2" t="n">
        <v>14323221</v>
      </c>
      <c r="C157" s="3" t="n">
        <v>0.821527777777778</v>
      </c>
      <c r="D157" s="4" t="n">
        <v>44536</v>
      </c>
      <c r="E157" s="1" t="s">
        <v>27</v>
      </c>
      <c r="F157" s="1" t="n">
        <v>6192</v>
      </c>
      <c r="G157" s="1" t="n">
        <v>1</v>
      </c>
      <c r="H157" s="1" t="n">
        <v>1</v>
      </c>
      <c r="J157" s="1" t="n">
        <v>425</v>
      </c>
      <c r="K157" s="1" t="n">
        <v>85</v>
      </c>
      <c r="X157" s="1" t="n">
        <v>340</v>
      </c>
      <c r="Y157" s="1" t="n">
        <f aca="false">30.6+30.6</f>
        <v>61.2</v>
      </c>
      <c r="Z157" s="1" t="n">
        <f aca="false">X157+Y157</f>
        <v>401.2</v>
      </c>
      <c r="AA157" s="1" t="n">
        <v>277</v>
      </c>
    </row>
    <row r="158" customFormat="false" ht="13.8" hidden="false" customHeight="false" outlineLevel="0" collapsed="false">
      <c r="B158" s="2" t="n">
        <v>14323221</v>
      </c>
      <c r="C158" s="3" t="n">
        <v>0.636805555555555</v>
      </c>
      <c r="D158" s="4" t="n">
        <v>44485</v>
      </c>
      <c r="E158" s="1" t="s">
        <v>27</v>
      </c>
      <c r="F158" s="1" t="n">
        <v>6156</v>
      </c>
      <c r="G158" s="1" t="n">
        <v>1</v>
      </c>
      <c r="H158" s="1" t="n">
        <v>1</v>
      </c>
      <c r="J158" s="1" t="n">
        <v>425</v>
      </c>
      <c r="K158" s="1" t="n">
        <v>85</v>
      </c>
      <c r="X158" s="1" t="n">
        <v>340</v>
      </c>
      <c r="Y158" s="1" t="n">
        <f aca="false">30.6+30.6</f>
        <v>61.2</v>
      </c>
      <c r="Z158" s="11" t="n">
        <f aca="false">X158+Y158</f>
        <v>401.2</v>
      </c>
      <c r="AA158" s="1" t="n">
        <v>277</v>
      </c>
    </row>
    <row r="159" customFormat="false" ht="13.8" hidden="false" customHeight="false" outlineLevel="0" collapsed="false">
      <c r="B159" s="2" t="n">
        <v>14323221</v>
      </c>
      <c r="C159" s="3" t="n">
        <v>0.744444444444445</v>
      </c>
      <c r="D159" s="4" t="n">
        <v>44506</v>
      </c>
      <c r="E159" s="1" t="s">
        <v>27</v>
      </c>
      <c r="F159" s="1" t="n">
        <v>6057</v>
      </c>
      <c r="G159" s="1" t="n">
        <v>1</v>
      </c>
      <c r="H159" s="1" t="n">
        <v>1</v>
      </c>
      <c r="J159" s="1" t="n">
        <v>675</v>
      </c>
      <c r="K159" s="1" t="n">
        <v>135</v>
      </c>
      <c r="X159" s="1" t="n">
        <v>540</v>
      </c>
      <c r="Y159" s="1" t="n">
        <f aca="false">48.6+48.6</f>
        <v>97.2</v>
      </c>
      <c r="Z159" s="11" t="n">
        <f aca="false">X159+Y159</f>
        <v>637.2</v>
      </c>
      <c r="AA159" s="1" t="n">
        <v>277</v>
      </c>
    </row>
    <row r="160" customFormat="false" ht="13.8" hidden="false" customHeight="false" outlineLevel="0" collapsed="false">
      <c r="B160" s="2" t="n">
        <v>14323221</v>
      </c>
      <c r="C160" s="3" t="n">
        <v>0.845833333333333</v>
      </c>
      <c r="D160" s="4" t="n">
        <v>44532</v>
      </c>
      <c r="E160" s="1" t="s">
        <v>27</v>
      </c>
      <c r="F160" s="1" t="n">
        <v>6032</v>
      </c>
      <c r="G160" s="1" t="n">
        <v>1</v>
      </c>
      <c r="H160" s="1" t="n">
        <v>1</v>
      </c>
      <c r="J160" s="1" t="n">
        <v>350</v>
      </c>
      <c r="K160" s="1" t="n">
        <v>70</v>
      </c>
      <c r="X160" s="1" t="n">
        <v>280</v>
      </c>
      <c r="Y160" s="1" t="n">
        <v>50.4</v>
      </c>
      <c r="Z160" s="1" t="n">
        <f aca="false">X160+Y160</f>
        <v>330.4</v>
      </c>
      <c r="AA160" s="1" t="n">
        <v>277</v>
      </c>
    </row>
    <row r="161" customFormat="false" ht="13.8" hidden="false" customHeight="false" outlineLevel="0" collapsed="false">
      <c r="B161" s="2" t="n">
        <v>14323221</v>
      </c>
      <c r="C161" s="3" t="n">
        <v>0.733333333333334</v>
      </c>
      <c r="D161" s="4" t="n">
        <v>44505</v>
      </c>
      <c r="E161" s="1" t="s">
        <v>27</v>
      </c>
      <c r="F161" s="1" t="n">
        <v>6018</v>
      </c>
      <c r="G161" s="1" t="n">
        <v>1</v>
      </c>
      <c r="H161" s="1" t="n">
        <v>1</v>
      </c>
      <c r="J161" s="1" t="n">
        <v>250</v>
      </c>
      <c r="K161" s="1" t="n">
        <v>50</v>
      </c>
      <c r="X161" s="1" t="n">
        <v>200</v>
      </c>
      <c r="Y161" s="1" t="n">
        <v>36</v>
      </c>
      <c r="Z161" s="11" t="n">
        <f aca="false">X161+Y161</f>
        <v>236</v>
      </c>
      <c r="AA161" s="1" t="n">
        <v>730</v>
      </c>
    </row>
    <row r="162" customFormat="false" ht="13.8" hidden="false" customHeight="false" outlineLevel="0" collapsed="false">
      <c r="B162" s="2" t="n">
        <v>14323229</v>
      </c>
      <c r="C162" s="3" t="n">
        <v>0.605555555555555</v>
      </c>
      <c r="D162" s="4" t="n">
        <v>44561</v>
      </c>
      <c r="E162" s="1" t="s">
        <v>27</v>
      </c>
      <c r="F162" s="1" t="n">
        <v>6179</v>
      </c>
      <c r="G162" s="1" t="n">
        <v>2</v>
      </c>
      <c r="H162" s="1" t="n">
        <v>2</v>
      </c>
      <c r="J162" s="1" t="n">
        <f aca="false">+K162*2</f>
        <v>1158.48</v>
      </c>
      <c r="K162" s="1" t="n">
        <v>579.24</v>
      </c>
      <c r="X162" s="1" t="n">
        <v>579.24</v>
      </c>
      <c r="Y162" s="1" t="n">
        <f aca="false">52.13+52.13</f>
        <v>104.26</v>
      </c>
      <c r="Z162" s="1" t="n">
        <f aca="false">X162+Y162</f>
        <v>683.5</v>
      </c>
      <c r="AA162" s="1" t="n">
        <v>277</v>
      </c>
    </row>
    <row r="163" customFormat="false" ht="13.8" hidden="false" customHeight="false" outlineLevel="0" collapsed="false">
      <c r="B163" s="2" t="n">
        <v>14375151</v>
      </c>
      <c r="C163" s="3" t="n">
        <v>0.557638888888889</v>
      </c>
      <c r="D163" s="4" t="n">
        <v>44604</v>
      </c>
      <c r="E163" s="1" t="s">
        <v>27</v>
      </c>
      <c r="F163" s="1" t="n">
        <v>6860</v>
      </c>
      <c r="G163" s="1" t="n">
        <v>3</v>
      </c>
      <c r="H163" s="1" t="n">
        <v>3</v>
      </c>
      <c r="J163" s="1" t="n">
        <v>3897</v>
      </c>
      <c r="K163" s="1" t="n">
        <v>1286.01</v>
      </c>
      <c r="X163" s="1" t="n">
        <v>2610</v>
      </c>
      <c r="Y163" s="1" t="n">
        <f aca="false">234.99+234.99</f>
        <v>469.98</v>
      </c>
      <c r="Z163" s="1" t="n">
        <f aca="false">X163+Y163</f>
        <v>3079.98</v>
      </c>
      <c r="AA163" s="1" t="n">
        <v>371</v>
      </c>
    </row>
    <row r="164" customFormat="false" ht="13.8" hidden="false" customHeight="false" outlineLevel="0" collapsed="false">
      <c r="B164" s="2" t="n">
        <v>14375151</v>
      </c>
      <c r="C164" s="3" t="n">
        <v>0.04375</v>
      </c>
      <c r="D164" s="4" t="n">
        <v>44445</v>
      </c>
      <c r="E164" s="1" t="s">
        <v>27</v>
      </c>
      <c r="F164" s="1" t="n">
        <v>6560</v>
      </c>
      <c r="G164" s="1" t="n">
        <v>2</v>
      </c>
      <c r="H164" s="1" t="n">
        <v>2</v>
      </c>
      <c r="J164" s="12" t="n">
        <v>1296.82</v>
      </c>
      <c r="K164" s="12" t="n">
        <v>362.67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 t="n">
        <v>736</v>
      </c>
      <c r="Y164" s="12" t="n">
        <f aca="false">66.27+66.27</f>
        <v>132.54</v>
      </c>
      <c r="Z164" s="11" t="n">
        <f aca="false">X164+Y164</f>
        <v>868.54</v>
      </c>
      <c r="AA164" s="13" t="s">
        <v>29</v>
      </c>
    </row>
    <row r="165" customFormat="false" ht="13.8" hidden="false" customHeight="false" outlineLevel="0" collapsed="false">
      <c r="B165" s="2" t="n">
        <v>14375151</v>
      </c>
      <c r="C165" s="3" t="n">
        <v>0.122916666666667</v>
      </c>
      <c r="D165" s="4" t="n">
        <v>44444</v>
      </c>
      <c r="E165" s="1" t="s">
        <v>27</v>
      </c>
      <c r="F165" s="1" t="n">
        <v>6520</v>
      </c>
      <c r="G165" s="1" t="n">
        <v>1</v>
      </c>
      <c r="H165" s="1" t="n">
        <v>1</v>
      </c>
      <c r="J165" s="12" t="n">
        <v>1499</v>
      </c>
      <c r="K165" s="12" t="n">
        <v>749.5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 t="n">
        <v>749.5</v>
      </c>
      <c r="Y165" s="12" t="n">
        <f aca="false">67.46+67.46</f>
        <v>134.92</v>
      </c>
      <c r="Z165" s="11" t="n">
        <f aca="false">X165+Y165</f>
        <v>884.42</v>
      </c>
      <c r="AA165" s="13" t="s">
        <v>29</v>
      </c>
    </row>
    <row r="166" customFormat="false" ht="13.8" hidden="false" customHeight="false" outlineLevel="0" collapsed="false">
      <c r="B166" s="2" t="n">
        <v>14375151</v>
      </c>
      <c r="C166" s="3" t="n">
        <v>0.559722222222222</v>
      </c>
      <c r="D166" s="4" t="n">
        <v>44570</v>
      </c>
      <c r="E166" s="1" t="s">
        <v>27</v>
      </c>
      <c r="F166" s="1" t="n">
        <v>6465</v>
      </c>
      <c r="G166" s="1" t="n">
        <v>2</v>
      </c>
      <c r="H166" s="1" t="n">
        <v>2</v>
      </c>
      <c r="J166" s="1" t="n">
        <v>2998</v>
      </c>
      <c r="K166" s="1" t="n">
        <v>611</v>
      </c>
      <c r="X166" s="1" t="n">
        <v>2445.18</v>
      </c>
      <c r="Y166" s="1" t="n">
        <f aca="false">220+220</f>
        <v>440</v>
      </c>
      <c r="Z166" s="1" t="n">
        <f aca="false">X166+Y166</f>
        <v>2885.18</v>
      </c>
      <c r="AA166" s="1" t="n">
        <v>371</v>
      </c>
    </row>
    <row r="167" customFormat="false" ht="13.8" hidden="false" customHeight="false" outlineLevel="0" collapsed="false">
      <c r="B167" s="2" t="n">
        <v>14375151</v>
      </c>
      <c r="C167" s="3" t="n">
        <v>0.591666666666667</v>
      </c>
      <c r="D167" s="4" t="n">
        <v>44505</v>
      </c>
      <c r="E167" s="1" t="s">
        <v>27</v>
      </c>
      <c r="F167" s="1" t="n">
        <v>6004</v>
      </c>
      <c r="G167" s="1" t="n">
        <v>4</v>
      </c>
      <c r="H167" s="1" t="n">
        <v>4</v>
      </c>
      <c r="J167" s="1" t="n">
        <v>3996</v>
      </c>
      <c r="K167" s="1" t="n">
        <v>1998</v>
      </c>
      <c r="X167" s="1" t="n">
        <v>1998</v>
      </c>
      <c r="Y167" s="1" t="n">
        <f aca="false">179.82+179.82</f>
        <v>359.64</v>
      </c>
      <c r="Z167" s="11" t="n">
        <f aca="false">X167+Y167</f>
        <v>2357.64</v>
      </c>
      <c r="AA167" s="1" t="n">
        <v>330</v>
      </c>
    </row>
    <row r="168" customFormat="false" ht="13.8" hidden="false" customHeight="false" outlineLevel="0" collapsed="false">
      <c r="B168" s="2" t="n">
        <v>14375157</v>
      </c>
      <c r="C168" s="3" t="n">
        <v>0.548611111111111</v>
      </c>
      <c r="D168" s="4" t="n">
        <v>44479</v>
      </c>
      <c r="E168" s="1" t="s">
        <v>27</v>
      </c>
      <c r="F168" s="1" t="n">
        <v>6895</v>
      </c>
      <c r="G168" s="1" t="n">
        <v>4</v>
      </c>
      <c r="H168" s="1" t="n">
        <v>4</v>
      </c>
      <c r="J168" s="12" t="n">
        <v>5996</v>
      </c>
      <c r="K168" s="12" t="n">
        <v>1199.2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 t="n">
        <v>4796.8</v>
      </c>
      <c r="Y168" s="12" t="n">
        <f aca="false">431.71+431.71</f>
        <v>863.42</v>
      </c>
      <c r="Z168" s="11" t="n">
        <f aca="false">X168+Y168</f>
        <v>5660.22</v>
      </c>
      <c r="AA168" s="13" t="s">
        <v>31</v>
      </c>
    </row>
    <row r="169" customFormat="false" ht="13.8" hidden="false" customHeight="false" outlineLevel="0" collapsed="false">
      <c r="B169" s="2" t="n">
        <v>14379151</v>
      </c>
      <c r="C169" s="3" t="n">
        <v>0.341666666666667</v>
      </c>
      <c r="D169" s="4" t="n">
        <v>44487</v>
      </c>
      <c r="E169" s="1" t="s">
        <v>27</v>
      </c>
      <c r="F169" s="1" t="n">
        <v>6249</v>
      </c>
      <c r="G169" s="1" t="n">
        <v>2</v>
      </c>
      <c r="H169" s="1" t="n">
        <v>2</v>
      </c>
      <c r="J169" s="1" t="n">
        <v>1398</v>
      </c>
      <c r="K169" s="1" t="n">
        <v>699</v>
      </c>
      <c r="X169" s="1" t="n">
        <v>699</v>
      </c>
      <c r="Y169" s="1" t="n">
        <f aca="false">62.91+62.91</f>
        <v>125.82</v>
      </c>
      <c r="Z169" s="11" t="n">
        <f aca="false">X169+Y169</f>
        <v>824.82</v>
      </c>
      <c r="AA169" s="1" t="n">
        <v>277</v>
      </c>
    </row>
    <row r="170" customFormat="false" ht="13.8" hidden="false" customHeight="false" outlineLevel="0" collapsed="false">
      <c r="B170" s="2" t="n">
        <v>14387261</v>
      </c>
      <c r="C170" s="3" t="n">
        <v>0.539583333333333</v>
      </c>
      <c r="D170" s="4" t="n">
        <v>44448</v>
      </c>
      <c r="E170" s="1" t="s">
        <v>27</v>
      </c>
      <c r="F170" s="1" t="n">
        <v>6680</v>
      </c>
      <c r="G170" s="1" t="n">
        <v>2</v>
      </c>
      <c r="H170" s="1" t="n">
        <v>2</v>
      </c>
      <c r="J170" s="12" t="n">
        <v>2050</v>
      </c>
      <c r="K170" s="12" t="n">
        <v>1025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 t="n">
        <v>1025</v>
      </c>
      <c r="Y170" s="12" t="n">
        <f aca="false">92.25+92.25</f>
        <v>184.5</v>
      </c>
      <c r="Z170" s="11" t="n">
        <f aca="false">X170+Y170</f>
        <v>1209.5</v>
      </c>
      <c r="AA170" s="13" t="s">
        <v>29</v>
      </c>
    </row>
    <row r="171" customFormat="false" ht="13.8" hidden="false" customHeight="false" outlineLevel="0" collapsed="false">
      <c r="B171" s="2" t="n">
        <v>14434651</v>
      </c>
      <c r="C171" s="3" t="n">
        <v>0.838888888888889</v>
      </c>
      <c r="D171" s="4" t="n">
        <v>44549</v>
      </c>
      <c r="E171" s="1" t="s">
        <v>27</v>
      </c>
      <c r="F171" s="1" t="n">
        <v>6713</v>
      </c>
      <c r="G171" s="1" t="n">
        <v>3</v>
      </c>
      <c r="H171" s="1" t="n">
        <v>3</v>
      </c>
      <c r="J171" s="1" t="n">
        <v>4275</v>
      </c>
      <c r="K171" s="1" t="n">
        <v>1410.25</v>
      </c>
      <c r="X171" s="1" t="n">
        <v>2864</v>
      </c>
      <c r="Y171" s="1" t="n">
        <f aca="false">257.78+257.78</f>
        <v>515.56</v>
      </c>
      <c r="Z171" s="1" t="n">
        <f aca="false">X171+Y171</f>
        <v>3379.56</v>
      </c>
      <c r="AA171" s="1" t="n">
        <v>277</v>
      </c>
    </row>
    <row r="172" customFormat="false" ht="13.8" hidden="false" customHeight="false" outlineLevel="0" collapsed="false">
      <c r="B172" s="2" t="n">
        <v>14440001</v>
      </c>
      <c r="C172" s="3" t="n">
        <v>0.338194444444444</v>
      </c>
      <c r="D172" s="4" t="n">
        <v>44405</v>
      </c>
      <c r="E172" s="1" t="s">
        <v>27</v>
      </c>
      <c r="F172" s="1" t="n">
        <v>6162</v>
      </c>
      <c r="G172" s="1" t="n">
        <v>2</v>
      </c>
      <c r="H172" s="1" t="n">
        <v>2</v>
      </c>
      <c r="J172" s="12" t="n">
        <v>1000</v>
      </c>
      <c r="K172" s="12" t="n">
        <v>500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1"/>
      <c r="X172" s="11" t="n">
        <v>500</v>
      </c>
      <c r="Y172" s="11" t="n">
        <v>90</v>
      </c>
      <c r="Z172" s="11" t="n">
        <f aca="false">X172+Y172</f>
        <v>590</v>
      </c>
      <c r="AA172" s="11" t="n">
        <v>758</v>
      </c>
    </row>
    <row r="173" s="18" customFormat="true" ht="13.8" hidden="false" customHeight="false" outlineLevel="0" collapsed="false">
      <c r="A173" s="1"/>
      <c r="B173" s="2" t="n">
        <v>14463361</v>
      </c>
      <c r="C173" s="3" t="n">
        <v>0.929166666666667</v>
      </c>
      <c r="D173" s="4" t="n">
        <v>44605</v>
      </c>
      <c r="E173" s="1" t="s">
        <v>30</v>
      </c>
      <c r="F173" s="1" t="n">
        <v>6956</v>
      </c>
      <c r="G173" s="1" t="n">
        <v>2</v>
      </c>
      <c r="H173" s="1" t="n">
        <v>2</v>
      </c>
      <c r="I173" s="1"/>
      <c r="J173" s="1"/>
      <c r="K173" s="1"/>
      <c r="L173" s="1"/>
      <c r="M173" s="1"/>
      <c r="N173" s="1"/>
      <c r="O173" s="1" t="n">
        <v>2225</v>
      </c>
      <c r="P173" s="1" t="n">
        <v>1112.5</v>
      </c>
      <c r="Q173" s="1"/>
      <c r="R173" s="1"/>
      <c r="S173" s="1"/>
      <c r="T173" s="1"/>
      <c r="U173" s="1"/>
      <c r="V173" s="1"/>
      <c r="W173" s="1"/>
      <c r="X173" s="1" t="n">
        <v>1112.5</v>
      </c>
      <c r="Y173" s="1" t="n">
        <v>200.26</v>
      </c>
      <c r="Z173" s="1" t="n">
        <f aca="false">X173+Y173</f>
        <v>1312.76</v>
      </c>
      <c r="AA173" s="1" t="n">
        <v>362</v>
      </c>
    </row>
    <row r="174" customFormat="false" ht="13.8" hidden="false" customHeight="false" outlineLevel="0" collapsed="false">
      <c r="B174" s="2" t="n">
        <v>14474651</v>
      </c>
      <c r="C174" s="3" t="n">
        <v>0.836805555555555</v>
      </c>
      <c r="D174" s="4" t="n">
        <v>44549</v>
      </c>
      <c r="E174" s="1" t="s">
        <v>30</v>
      </c>
      <c r="F174" s="1" t="n">
        <v>3662</v>
      </c>
      <c r="G174" s="1" t="n">
        <v>2</v>
      </c>
      <c r="H174" s="1" t="n">
        <v>2</v>
      </c>
      <c r="O174" s="1" t="n">
        <v>885</v>
      </c>
      <c r="P174" s="1" t="n">
        <v>177</v>
      </c>
      <c r="X174" s="1" t="n">
        <v>708</v>
      </c>
      <c r="Y174" s="1" t="n">
        <v>141</v>
      </c>
      <c r="Z174" s="1" t="n">
        <f aca="false">X174+Y174</f>
        <v>849</v>
      </c>
      <c r="AA174" s="1" t="n">
        <v>277</v>
      </c>
    </row>
    <row r="175" s="18" customFormat="true" ht="13.8" hidden="false" customHeight="false" outlineLevel="0" collapsed="false">
      <c r="A175" s="1"/>
      <c r="B175" s="2" t="n">
        <v>14504301</v>
      </c>
      <c r="C175" s="3" t="n">
        <v>0.848611111111111</v>
      </c>
      <c r="D175" s="4" t="n">
        <v>44616</v>
      </c>
      <c r="E175" s="1" t="s">
        <v>30</v>
      </c>
      <c r="F175" s="1" t="n">
        <v>3189</v>
      </c>
      <c r="G175" s="1" t="n">
        <v>3</v>
      </c>
      <c r="H175" s="1" t="n">
        <v>3</v>
      </c>
      <c r="I175" s="1"/>
      <c r="J175" s="1"/>
      <c r="K175" s="1"/>
      <c r="L175" s="1"/>
      <c r="M175" s="1"/>
      <c r="N175" s="1"/>
      <c r="O175" s="1" t="n">
        <f aca="false">P175*5</f>
        <v>6620</v>
      </c>
      <c r="P175" s="1" t="n">
        <v>1324</v>
      </c>
      <c r="Q175" s="1"/>
      <c r="R175" s="1"/>
      <c r="S175" s="1"/>
      <c r="T175" s="1"/>
      <c r="U175" s="1"/>
      <c r="V175" s="1"/>
      <c r="W175" s="1"/>
      <c r="X175" s="1" t="n">
        <v>5296</v>
      </c>
      <c r="Y175" s="1" t="n">
        <v>1059</v>
      </c>
      <c r="Z175" s="1" t="n">
        <f aca="false">X175+Y175</f>
        <v>6355</v>
      </c>
      <c r="AA175" s="1" t="n">
        <v>371</v>
      </c>
    </row>
    <row r="176" customFormat="false" ht="13.8" hidden="false" customHeight="false" outlineLevel="0" collapsed="false">
      <c r="B176" s="2" t="n">
        <v>14504771</v>
      </c>
      <c r="C176" s="3" t="n">
        <v>0.7875</v>
      </c>
      <c r="D176" s="4" t="n">
        <v>44604</v>
      </c>
      <c r="E176" s="1" t="s">
        <v>30</v>
      </c>
      <c r="F176" s="1" t="n">
        <v>6869</v>
      </c>
      <c r="G176" s="1" t="n">
        <v>2</v>
      </c>
      <c r="H176" s="1" t="n">
        <v>2</v>
      </c>
      <c r="O176" s="1" t="n">
        <f aca="false">P176*2</f>
        <v>875</v>
      </c>
      <c r="P176" s="1" t="n">
        <v>437.5</v>
      </c>
      <c r="X176" s="1" t="n">
        <v>787.5</v>
      </c>
      <c r="Y176" s="1" t="n">
        <f aca="false">70.88+70.88</f>
        <v>141.76</v>
      </c>
      <c r="Z176" s="1" t="n">
        <f aca="false">X176+Y176</f>
        <v>929.26</v>
      </c>
      <c r="AA176" s="1" t="n">
        <v>371</v>
      </c>
    </row>
    <row r="177" customFormat="false" ht="13.8" hidden="false" customHeight="false" outlineLevel="0" collapsed="false">
      <c r="B177" s="2" t="n">
        <v>14504771</v>
      </c>
      <c r="C177" s="3" t="n">
        <v>0.786111111111111</v>
      </c>
      <c r="D177" s="4" t="n">
        <v>44604</v>
      </c>
      <c r="E177" s="1" t="s">
        <v>30</v>
      </c>
      <c r="F177" s="1" t="n">
        <v>3980</v>
      </c>
      <c r="G177" s="1" t="n">
        <v>1</v>
      </c>
      <c r="H177" s="1" t="n">
        <v>1</v>
      </c>
      <c r="O177" s="1" t="n">
        <v>850</v>
      </c>
      <c r="P177" s="1" t="n">
        <v>425</v>
      </c>
      <c r="X177" s="1" t="n">
        <v>425</v>
      </c>
      <c r="Y177" s="1" t="n">
        <v>85</v>
      </c>
      <c r="Z177" s="1" t="n">
        <f aca="false">X177+Y177</f>
        <v>510</v>
      </c>
      <c r="AA177" s="1" t="n">
        <v>371</v>
      </c>
    </row>
    <row r="178" customFormat="false" ht="13.8" hidden="false" customHeight="false" outlineLevel="0" collapsed="false">
      <c r="B178" s="2" t="n">
        <v>14504801</v>
      </c>
      <c r="C178" s="3" t="n">
        <v>0.841666666666667</v>
      </c>
      <c r="D178" s="4" t="n">
        <v>44616</v>
      </c>
      <c r="E178" s="1" t="s">
        <v>27</v>
      </c>
      <c r="F178" s="1" t="n">
        <v>6401</v>
      </c>
      <c r="G178" s="1" t="n">
        <v>12</v>
      </c>
      <c r="H178" s="1" t="n">
        <v>12</v>
      </c>
      <c r="J178" s="1" t="n">
        <f aca="false">K178*5</f>
        <v>10800</v>
      </c>
      <c r="K178" s="1" t="n">
        <v>2160</v>
      </c>
      <c r="X178" s="1" t="n">
        <v>8965</v>
      </c>
      <c r="Y178" s="1" t="n">
        <f aca="false">806.85+806.85</f>
        <v>1613.7</v>
      </c>
      <c r="Z178" s="1" t="n">
        <f aca="false">X178+Y178</f>
        <v>10578.7</v>
      </c>
      <c r="AA178" s="1" t="n">
        <v>330</v>
      </c>
    </row>
    <row r="179" customFormat="false" ht="13.8" hidden="false" customHeight="false" outlineLevel="0" collapsed="false">
      <c r="B179" s="2" t="n">
        <v>14521141</v>
      </c>
      <c r="C179" s="3" t="n">
        <v>0.897222222222222</v>
      </c>
      <c r="D179" s="4" t="n">
        <v>44537</v>
      </c>
      <c r="E179" s="1" t="s">
        <v>28</v>
      </c>
      <c r="F179" s="1" t="n">
        <v>1508</v>
      </c>
      <c r="G179" s="1" t="n">
        <v>1</v>
      </c>
      <c r="H179" s="1" t="n">
        <v>1</v>
      </c>
      <c r="J179" s="1" t="n">
        <v>1300</v>
      </c>
      <c r="K179" s="1" t="n">
        <v>260</v>
      </c>
      <c r="X179" s="1" t="n">
        <v>1040</v>
      </c>
      <c r="Y179" s="1" t="n">
        <f aca="false">93.6+93.6</f>
        <v>187.2</v>
      </c>
      <c r="Z179" s="1" t="n">
        <f aca="false">X179+Y179</f>
        <v>1227.2</v>
      </c>
      <c r="AA179" s="1" t="n">
        <v>312</v>
      </c>
    </row>
    <row r="180" customFormat="false" ht="13.8" hidden="false" customHeight="false" outlineLevel="0" collapsed="false">
      <c r="B180" s="2" t="n">
        <v>14658341</v>
      </c>
      <c r="C180" s="3" t="n">
        <v>0.584722222222222</v>
      </c>
      <c r="D180" s="4" t="n">
        <v>44563</v>
      </c>
      <c r="E180" s="1" t="s">
        <v>27</v>
      </c>
      <c r="F180" s="1" t="n">
        <v>6279</v>
      </c>
      <c r="G180" s="1" t="n">
        <v>5</v>
      </c>
      <c r="H180" s="1" t="n">
        <v>5</v>
      </c>
      <c r="J180" s="1" t="n">
        <v>1499</v>
      </c>
      <c r="K180" s="1" t="n">
        <v>299.8</v>
      </c>
      <c r="X180" s="1" t="n">
        <v>1199</v>
      </c>
      <c r="Y180" s="1" t="n">
        <f aca="false">107.92+107.92</f>
        <v>215.84</v>
      </c>
      <c r="Z180" s="1" t="n">
        <f aca="false">X180+Y180</f>
        <v>1414.84</v>
      </c>
      <c r="AA180" s="1" t="n">
        <v>371</v>
      </c>
    </row>
    <row r="181" customFormat="false" ht="13.8" hidden="false" customHeight="false" outlineLevel="0" collapsed="false">
      <c r="B181" s="2" t="n">
        <v>14691721</v>
      </c>
      <c r="C181" s="3" t="n">
        <v>0.435416666666667</v>
      </c>
      <c r="D181" s="4" t="n">
        <v>44572</v>
      </c>
      <c r="E181" s="1" t="s">
        <v>27</v>
      </c>
      <c r="F181" s="1" t="n">
        <v>6515</v>
      </c>
      <c r="G181" s="1" t="n">
        <v>4</v>
      </c>
      <c r="H181" s="1" t="n">
        <v>4</v>
      </c>
      <c r="J181" s="1" t="n">
        <v>2097</v>
      </c>
      <c r="K181" s="1" t="n">
        <v>692.1</v>
      </c>
      <c r="X181" s="1" t="n">
        <v>1404</v>
      </c>
      <c r="Y181" s="1" t="n">
        <f aca="false">126.45+126.45</f>
        <v>252.9</v>
      </c>
      <c r="Z181" s="1" t="n">
        <f aca="false">X181+Y181</f>
        <v>1656.9</v>
      </c>
      <c r="AA181" s="1" t="n">
        <v>371</v>
      </c>
    </row>
    <row r="182" customFormat="false" ht="13.8" hidden="false" customHeight="false" outlineLevel="0" collapsed="false">
      <c r="B182" s="2" t="n">
        <v>14691721</v>
      </c>
      <c r="C182" s="3" t="n">
        <v>0.0708333333333333</v>
      </c>
      <c r="D182" s="4" t="n">
        <v>44465</v>
      </c>
      <c r="E182" s="1" t="s">
        <v>27</v>
      </c>
      <c r="F182" s="1" t="n">
        <v>6316</v>
      </c>
      <c r="G182" s="1" t="n">
        <v>1</v>
      </c>
      <c r="H182" s="1" t="n">
        <v>1</v>
      </c>
      <c r="J182" s="12" t="n">
        <v>749</v>
      </c>
      <c r="K182" s="12" t="n">
        <v>149.9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 t="n">
        <v>599.6</v>
      </c>
      <c r="Y182" s="12" t="n">
        <f aca="false">53.96+53.96</f>
        <v>107.92</v>
      </c>
      <c r="Z182" s="11" t="n">
        <f aca="false">X182+Y182</f>
        <v>707.52</v>
      </c>
      <c r="AA182" s="13" t="s">
        <v>31</v>
      </c>
    </row>
    <row r="183" customFormat="false" ht="13.8" hidden="false" customHeight="false" outlineLevel="0" collapsed="false">
      <c r="B183" s="2" t="n">
        <v>14691721</v>
      </c>
      <c r="C183" s="3" t="n">
        <v>0.43125</v>
      </c>
      <c r="D183" s="4" t="n">
        <v>44458</v>
      </c>
      <c r="E183" s="1" t="s">
        <v>27</v>
      </c>
      <c r="F183" s="1" t="n">
        <v>6051</v>
      </c>
      <c r="G183" s="1" t="n">
        <v>4</v>
      </c>
      <c r="H183" s="1" t="n">
        <v>4</v>
      </c>
      <c r="J183" s="12" t="n">
        <f aca="false">+K183*4</f>
        <v>2446.52</v>
      </c>
      <c r="K183" s="12" t="n">
        <v>611.63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 t="n">
        <v>1834.87</v>
      </c>
      <c r="Y183" s="12" t="n">
        <f aca="false">165.14+165.14</f>
        <v>330.28</v>
      </c>
      <c r="Z183" s="11" t="n">
        <f aca="false">X183+Y183</f>
        <v>2165.15</v>
      </c>
      <c r="AA183" s="13" t="s">
        <v>31</v>
      </c>
    </row>
    <row r="184" customFormat="false" ht="13.8" hidden="false" customHeight="false" outlineLevel="0" collapsed="false">
      <c r="B184" s="2" t="n">
        <v>14702981</v>
      </c>
      <c r="C184" s="3" t="n">
        <v>0.854166666666667</v>
      </c>
      <c r="D184" s="4" t="n">
        <v>44558</v>
      </c>
      <c r="E184" s="1" t="s">
        <v>27</v>
      </c>
      <c r="F184" s="1" t="n">
        <v>6067</v>
      </c>
      <c r="G184" s="1" t="n">
        <v>4</v>
      </c>
      <c r="H184" s="1" t="n">
        <v>4</v>
      </c>
      <c r="J184" s="1" t="n">
        <f aca="false">K184*2</f>
        <v>6916.94</v>
      </c>
      <c r="K184" s="1" t="n">
        <v>3458.47</v>
      </c>
      <c r="X184" s="1" t="n">
        <v>3458.87</v>
      </c>
      <c r="Y184" s="1" t="n">
        <f aca="false">311.26+311.26</f>
        <v>622.52</v>
      </c>
      <c r="Z184" s="1" t="n">
        <f aca="false">X184+Y184</f>
        <v>4081.39</v>
      </c>
      <c r="AA184" s="1" t="n">
        <v>277</v>
      </c>
    </row>
    <row r="185" customFormat="false" ht="13.8" hidden="false" customHeight="false" outlineLevel="0" collapsed="false">
      <c r="B185" s="2" t="n">
        <v>14707201</v>
      </c>
      <c r="C185" s="3" t="n">
        <v>0.597916666666667</v>
      </c>
      <c r="D185" s="4" t="n">
        <v>44555</v>
      </c>
      <c r="E185" s="1" t="s">
        <v>27</v>
      </c>
      <c r="F185" s="1" t="n">
        <v>6926</v>
      </c>
      <c r="G185" s="1" t="n">
        <v>4</v>
      </c>
      <c r="H185" s="1" t="n">
        <v>4</v>
      </c>
      <c r="J185" s="1" t="n">
        <v>6396</v>
      </c>
      <c r="K185" s="1" t="n">
        <v>3198</v>
      </c>
      <c r="X185" s="1" t="n">
        <v>3198</v>
      </c>
      <c r="Y185" s="1" t="n">
        <f aca="false">287.82+287.82</f>
        <v>575.64</v>
      </c>
      <c r="Z185" s="1" t="n">
        <f aca="false">X185+Y185</f>
        <v>3773.64</v>
      </c>
      <c r="AA185" s="1" t="n">
        <v>277</v>
      </c>
    </row>
    <row r="186" customFormat="false" ht="13.8" hidden="false" customHeight="false" outlineLevel="0" collapsed="false">
      <c r="B186" s="2" t="n">
        <v>14719981</v>
      </c>
      <c r="C186" s="3" t="n">
        <v>0.05</v>
      </c>
      <c r="D186" s="4" t="n">
        <v>44453</v>
      </c>
      <c r="E186" s="1" t="s">
        <v>27</v>
      </c>
      <c r="F186" s="1" t="n">
        <v>6846</v>
      </c>
      <c r="G186" s="1" t="n">
        <v>3</v>
      </c>
      <c r="H186" s="1" t="n">
        <v>3</v>
      </c>
      <c r="J186" s="12" t="n">
        <v>1347</v>
      </c>
      <c r="K186" s="12" t="n">
        <v>673.5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 t="n">
        <v>673.5</v>
      </c>
      <c r="Y186" s="12" t="n">
        <f aca="false">60.62+60.62</f>
        <v>121.24</v>
      </c>
      <c r="Z186" s="11" t="n">
        <f aca="false">X186+Y186</f>
        <v>794.74</v>
      </c>
      <c r="AA186" s="13" t="s">
        <v>42</v>
      </c>
    </row>
    <row r="187" customFormat="false" ht="13.8" hidden="false" customHeight="false" outlineLevel="0" collapsed="false">
      <c r="B187" s="2" t="n">
        <v>14719981</v>
      </c>
      <c r="C187" s="3" t="n">
        <v>0.0708333333333333</v>
      </c>
      <c r="D187" s="4" t="n">
        <v>44506</v>
      </c>
      <c r="E187" s="1" t="s">
        <v>27</v>
      </c>
      <c r="F187" s="1" t="n">
        <v>6040</v>
      </c>
      <c r="G187" s="1" t="n">
        <v>2</v>
      </c>
      <c r="H187" s="1" t="n">
        <v>2</v>
      </c>
      <c r="J187" s="1" t="n">
        <v>1398</v>
      </c>
      <c r="K187" s="1" t="n">
        <v>699</v>
      </c>
      <c r="X187" s="1" t="n">
        <v>699</v>
      </c>
      <c r="Y187" s="1" t="n">
        <f aca="false">62.91+62.91</f>
        <v>125.82</v>
      </c>
      <c r="Z187" s="11" t="n">
        <f aca="false">X187+Y187</f>
        <v>824.82</v>
      </c>
      <c r="AA187" s="1" t="n">
        <v>277</v>
      </c>
    </row>
    <row r="188" customFormat="false" ht="13.8" hidden="false" customHeight="false" outlineLevel="0" collapsed="false">
      <c r="B188" s="2" t="n">
        <v>14723211</v>
      </c>
      <c r="C188" s="3" t="n">
        <v>0.640277777777778</v>
      </c>
      <c r="D188" s="4" t="n">
        <v>44568</v>
      </c>
      <c r="E188" s="1" t="s">
        <v>27</v>
      </c>
      <c r="F188" s="1" t="n">
        <v>6421</v>
      </c>
      <c r="G188" s="1" t="n">
        <v>2</v>
      </c>
      <c r="H188" s="1" t="n">
        <v>2</v>
      </c>
      <c r="J188" s="1" t="n">
        <v>1998</v>
      </c>
      <c r="K188" s="1" t="n">
        <v>999</v>
      </c>
      <c r="X188" s="1" t="n">
        <v>999</v>
      </c>
      <c r="Y188" s="1" t="n">
        <f aca="false">89.91+89.91</f>
        <v>179.82</v>
      </c>
      <c r="Z188" s="1" t="n">
        <f aca="false">X188+Y188</f>
        <v>1178.82</v>
      </c>
      <c r="AA188" s="1" t="n">
        <v>371</v>
      </c>
    </row>
    <row r="189" customFormat="false" ht="13.8" hidden="false" customHeight="false" outlineLevel="0" collapsed="false">
      <c r="B189" s="2" t="n">
        <v>14737181</v>
      </c>
      <c r="C189" s="3" t="n">
        <v>0.930555555555555</v>
      </c>
      <c r="D189" s="4" t="n">
        <v>44571</v>
      </c>
      <c r="E189" s="1" t="s">
        <v>27</v>
      </c>
      <c r="F189" s="1" t="n">
        <v>6510</v>
      </c>
      <c r="G189" s="1" t="n">
        <v>2</v>
      </c>
      <c r="H189" s="1" t="n">
        <v>2</v>
      </c>
      <c r="J189" s="1" t="n">
        <v>2400</v>
      </c>
      <c r="K189" s="1" t="n">
        <v>1200</v>
      </c>
      <c r="X189" s="1" t="n">
        <v>1200</v>
      </c>
      <c r="Y189" s="1" t="n">
        <v>216</v>
      </c>
      <c r="Z189" s="1" t="n">
        <f aca="false">X189+Y189</f>
        <v>1416</v>
      </c>
      <c r="AA189" s="1" t="n">
        <v>371</v>
      </c>
    </row>
    <row r="190" customFormat="false" ht="13.8" hidden="false" customHeight="false" outlineLevel="0" collapsed="false">
      <c r="B190" s="2" t="n">
        <v>14737181</v>
      </c>
      <c r="C190" s="3" t="n">
        <v>0.954166666666667</v>
      </c>
      <c r="D190" s="4" t="n">
        <v>44565</v>
      </c>
      <c r="E190" s="1" t="s">
        <v>27</v>
      </c>
      <c r="F190" s="1" t="n">
        <v>6365</v>
      </c>
      <c r="G190" s="1" t="n">
        <v>2</v>
      </c>
      <c r="H190" s="1" t="n">
        <v>2</v>
      </c>
      <c r="J190" s="1" t="n">
        <v>2400</v>
      </c>
      <c r="K190" s="1" t="n">
        <v>1200</v>
      </c>
      <c r="X190" s="1" t="n">
        <v>1200</v>
      </c>
      <c r="Y190" s="1" t="n">
        <f aca="false">108+108</f>
        <v>216</v>
      </c>
      <c r="Z190" s="1" t="n">
        <f aca="false">X190+Y190</f>
        <v>1416</v>
      </c>
      <c r="AA190" s="1" t="n">
        <v>371</v>
      </c>
    </row>
    <row r="191" customFormat="false" ht="13.8" hidden="false" customHeight="false" outlineLevel="0" collapsed="false">
      <c r="B191" s="2" t="n">
        <v>14756051</v>
      </c>
      <c r="C191" s="3" t="n">
        <v>0.90625</v>
      </c>
      <c r="D191" s="4" t="n">
        <v>44530</v>
      </c>
      <c r="E191" s="1" t="s">
        <v>27</v>
      </c>
      <c r="F191" s="1" t="n">
        <v>6956</v>
      </c>
      <c r="G191" s="1" t="n">
        <v>1</v>
      </c>
      <c r="H191" s="1" t="n">
        <v>1</v>
      </c>
      <c r="J191" s="1" t="n">
        <v>1600</v>
      </c>
      <c r="K191" s="1" t="n">
        <v>800</v>
      </c>
      <c r="X191" s="1" t="n">
        <v>800</v>
      </c>
      <c r="Y191" s="1" t="n">
        <v>144</v>
      </c>
      <c r="Z191" s="11" t="n">
        <f aca="false">X191+Y191</f>
        <v>944</v>
      </c>
      <c r="AA191" s="1" t="n">
        <v>369</v>
      </c>
    </row>
    <row r="192" customFormat="false" ht="13.8" hidden="false" customHeight="false" outlineLevel="0" collapsed="false">
      <c r="B192" s="2" t="n">
        <v>14756051</v>
      </c>
      <c r="C192" s="3" t="n">
        <v>0.859027777777778</v>
      </c>
      <c r="D192" s="4" t="n">
        <v>44547</v>
      </c>
      <c r="E192" s="1" t="s">
        <v>27</v>
      </c>
      <c r="F192" s="1" t="n">
        <v>6622</v>
      </c>
      <c r="G192" s="1" t="n">
        <v>1</v>
      </c>
      <c r="H192" s="1" t="n">
        <v>1</v>
      </c>
      <c r="J192" s="1" t="n">
        <v>500</v>
      </c>
      <c r="K192" s="1" t="n">
        <v>250</v>
      </c>
      <c r="X192" s="1" t="n">
        <v>250</v>
      </c>
      <c r="Y192" s="1" t="n">
        <f aca="false">22+23</f>
        <v>45</v>
      </c>
      <c r="Z192" s="1" t="n">
        <f aca="false">X192+Y192</f>
        <v>295</v>
      </c>
      <c r="AA192" s="1" t="n">
        <v>277</v>
      </c>
    </row>
    <row r="193" customFormat="false" ht="13.8" hidden="false" customHeight="false" outlineLevel="0" collapsed="false">
      <c r="B193" s="2" t="n">
        <v>14756051</v>
      </c>
      <c r="C193" s="3" t="n">
        <v>0.8125</v>
      </c>
      <c r="D193" s="4" t="n">
        <v>44545</v>
      </c>
      <c r="E193" s="1" t="s">
        <v>27</v>
      </c>
      <c r="F193" s="1" t="n">
        <v>6538</v>
      </c>
      <c r="G193" s="1" t="n">
        <v>2</v>
      </c>
      <c r="H193" s="1" t="n">
        <v>2</v>
      </c>
      <c r="J193" s="1" t="n">
        <v>2400</v>
      </c>
      <c r="K193" s="1" t="n">
        <v>1200</v>
      </c>
      <c r="X193" s="1" t="n">
        <v>1200</v>
      </c>
      <c r="Y193" s="1" t="n">
        <v>216</v>
      </c>
      <c r="Z193" s="1" t="n">
        <f aca="false">X193+Y193</f>
        <v>1416</v>
      </c>
      <c r="AA193" s="1" t="n">
        <v>277</v>
      </c>
    </row>
    <row r="194" customFormat="false" ht="13.8" hidden="false" customHeight="false" outlineLevel="0" collapsed="false">
      <c r="B194" s="2" t="n">
        <v>14756051</v>
      </c>
      <c r="C194" s="3" t="n">
        <v>0.897222222222222</v>
      </c>
      <c r="D194" s="4" t="n">
        <v>44492</v>
      </c>
      <c r="E194" s="1" t="s">
        <v>27</v>
      </c>
      <c r="F194" s="1" t="n">
        <v>6501</v>
      </c>
      <c r="G194" s="1" t="n">
        <v>1</v>
      </c>
      <c r="H194" s="1" t="n">
        <v>1</v>
      </c>
      <c r="J194" s="1" t="n">
        <v>1400</v>
      </c>
      <c r="K194" s="1" t="n">
        <v>700</v>
      </c>
      <c r="X194" s="1" t="n">
        <v>700</v>
      </c>
      <c r="Y194" s="1" t="n">
        <f aca="false">63+63</f>
        <v>126</v>
      </c>
      <c r="Z194" s="11" t="n">
        <f aca="false">X194+Y194</f>
        <v>826</v>
      </c>
      <c r="AA194" s="1" t="n">
        <v>340</v>
      </c>
    </row>
    <row r="195" customFormat="false" ht="13.8" hidden="false" customHeight="false" outlineLevel="0" collapsed="false">
      <c r="B195" s="2" t="n">
        <v>14756051</v>
      </c>
      <c r="C195" s="3" t="n">
        <v>0.881944444444444</v>
      </c>
      <c r="D195" s="4" t="n">
        <v>44489</v>
      </c>
      <c r="E195" s="1" t="s">
        <v>27</v>
      </c>
      <c r="F195" s="1" t="n">
        <v>6355</v>
      </c>
      <c r="G195" s="1" t="n">
        <v>3</v>
      </c>
      <c r="H195" s="1" t="n">
        <v>3</v>
      </c>
      <c r="J195" s="1" t="n">
        <v>1200</v>
      </c>
      <c r="K195" s="1" t="n">
        <v>240</v>
      </c>
      <c r="X195" s="1" t="n">
        <v>960</v>
      </c>
      <c r="Y195" s="1" t="n">
        <f aca="false">86.4+86.4</f>
        <v>172.8</v>
      </c>
      <c r="Z195" s="11" t="n">
        <f aca="false">X195+Y195</f>
        <v>1132.8</v>
      </c>
      <c r="AA195" s="1" t="n">
        <v>277</v>
      </c>
    </row>
    <row r="196" customFormat="false" ht="13.8" hidden="false" customHeight="false" outlineLevel="0" collapsed="false">
      <c r="B196" s="2" t="n">
        <v>14756051</v>
      </c>
      <c r="C196" s="3" t="n">
        <v>0.84375</v>
      </c>
      <c r="D196" s="4" t="n">
        <v>44512</v>
      </c>
      <c r="E196" s="1" t="s">
        <v>27</v>
      </c>
      <c r="F196" s="1" t="n">
        <v>6246</v>
      </c>
      <c r="G196" s="1" t="n">
        <v>2</v>
      </c>
      <c r="H196" s="1" t="n">
        <v>2</v>
      </c>
      <c r="J196" s="1" t="n">
        <v>925</v>
      </c>
      <c r="K196" s="1" t="n">
        <v>462.5</v>
      </c>
      <c r="X196" s="1" t="n">
        <v>462.5</v>
      </c>
      <c r="Y196" s="1" t="n">
        <f aca="false">41.63+41.63</f>
        <v>83.26</v>
      </c>
      <c r="Z196" s="11" t="n">
        <f aca="false">X196+Y196</f>
        <v>545.76</v>
      </c>
      <c r="AA196" s="1" t="n">
        <v>277</v>
      </c>
    </row>
    <row r="197" customFormat="false" ht="13.8" hidden="false" customHeight="false" outlineLevel="0" collapsed="false">
      <c r="B197" s="2" t="n">
        <v>14756051</v>
      </c>
      <c r="C197" s="3" t="n">
        <v>0.871527777777778</v>
      </c>
      <c r="D197" s="4" t="n">
        <v>44485</v>
      </c>
      <c r="E197" s="1" t="s">
        <v>27</v>
      </c>
      <c r="F197" s="1" t="n">
        <v>6182</v>
      </c>
      <c r="G197" s="1" t="n">
        <v>2</v>
      </c>
      <c r="H197" s="1" t="n">
        <v>2</v>
      </c>
      <c r="J197" s="1" t="n">
        <f aca="false">K197*2</f>
        <v>1375</v>
      </c>
      <c r="K197" s="1" t="n">
        <v>687.5</v>
      </c>
      <c r="X197" s="1" t="n">
        <v>687.5</v>
      </c>
      <c r="Y197" s="1" t="n">
        <f aca="false">61.88+61.88</f>
        <v>123.76</v>
      </c>
      <c r="Z197" s="11" t="n">
        <f aca="false">X197+Y197</f>
        <v>811.26</v>
      </c>
      <c r="AA197" s="1" t="n">
        <v>277</v>
      </c>
    </row>
    <row r="198" customFormat="false" ht="13.8" hidden="false" customHeight="false" outlineLevel="0" collapsed="false">
      <c r="B198" s="2" t="n">
        <v>14756051</v>
      </c>
      <c r="C198" s="3" t="n">
        <v>0.758333333333333</v>
      </c>
      <c r="D198" s="4" t="n">
        <v>44547</v>
      </c>
      <c r="E198" s="1" t="s">
        <v>30</v>
      </c>
      <c r="F198" s="1" t="n">
        <v>3628</v>
      </c>
      <c r="G198" s="1" t="n">
        <v>2</v>
      </c>
      <c r="H198" s="1" t="n">
        <v>2</v>
      </c>
      <c r="J198" s="1" t="n">
        <v>850</v>
      </c>
      <c r="K198" s="1" t="n">
        <v>425</v>
      </c>
      <c r="X198" s="1" t="n">
        <v>425</v>
      </c>
      <c r="Y198" s="1" t="n">
        <v>85</v>
      </c>
      <c r="Z198" s="1" t="n">
        <f aca="false">X198+Y198</f>
        <v>510</v>
      </c>
      <c r="AA198" s="1" t="n">
        <v>366</v>
      </c>
    </row>
    <row r="199" customFormat="false" ht="13.8" hidden="false" customHeight="false" outlineLevel="0" collapsed="false">
      <c r="B199" s="2" t="n">
        <v>14779981</v>
      </c>
      <c r="C199" s="3" t="n">
        <v>0.447916666666667</v>
      </c>
      <c r="D199" s="4" t="n">
        <v>44556</v>
      </c>
      <c r="E199" s="1" t="s">
        <v>27</v>
      </c>
      <c r="F199" s="1" t="n">
        <v>6972</v>
      </c>
      <c r="G199" s="1" t="n">
        <v>2</v>
      </c>
      <c r="H199" s="1" t="n">
        <v>2</v>
      </c>
      <c r="J199" s="1" t="n">
        <v>1398</v>
      </c>
      <c r="K199" s="1" t="n">
        <v>699</v>
      </c>
      <c r="X199" s="1" t="n">
        <v>699</v>
      </c>
      <c r="Y199" s="1" t="n">
        <f aca="false">62.91+62.91</f>
        <v>125.82</v>
      </c>
      <c r="Z199" s="1" t="n">
        <f aca="false">X199+Y199</f>
        <v>824.82</v>
      </c>
      <c r="AA199" s="1" t="n">
        <v>277</v>
      </c>
    </row>
    <row r="200" customFormat="false" ht="13.8" hidden="false" customHeight="false" outlineLevel="0" collapsed="false">
      <c r="B200" s="2" t="n">
        <v>14783641</v>
      </c>
      <c r="C200" s="3" t="n">
        <v>0.670833333333333</v>
      </c>
      <c r="D200" s="4" t="n">
        <v>44612</v>
      </c>
      <c r="E200" s="1" t="s">
        <v>28</v>
      </c>
      <c r="F200" s="1" t="n">
        <v>1755</v>
      </c>
      <c r="G200" s="1" t="n">
        <v>1</v>
      </c>
      <c r="H200" s="1" t="n">
        <v>1</v>
      </c>
      <c r="J200" s="1" t="n">
        <v>1800</v>
      </c>
      <c r="K200" s="1" t="n">
        <v>360</v>
      </c>
      <c r="X200" s="1" t="n">
        <v>1440</v>
      </c>
      <c r="Y200" s="1" t="n">
        <f aca="false">129.6+129.6</f>
        <v>259.2</v>
      </c>
      <c r="Z200" s="1" t="n">
        <f aca="false">X200+Y200</f>
        <v>1699.2</v>
      </c>
      <c r="AA200" s="1" t="n">
        <v>312</v>
      </c>
    </row>
    <row r="201" customFormat="false" ht="13.8" hidden="false" customHeight="false" outlineLevel="0" collapsed="false">
      <c r="B201" s="2" t="n">
        <v>14802361</v>
      </c>
      <c r="C201" s="3" t="n">
        <v>0.917361111111111</v>
      </c>
      <c r="D201" s="4" t="n">
        <v>44528</v>
      </c>
      <c r="E201" s="1" t="s">
        <v>27</v>
      </c>
      <c r="F201" s="1" t="n">
        <v>6899</v>
      </c>
      <c r="G201" s="1" t="n">
        <v>2</v>
      </c>
      <c r="H201" s="1" t="n">
        <v>2</v>
      </c>
      <c r="J201" s="1" t="n">
        <v>2400</v>
      </c>
      <c r="K201" s="1" t="n">
        <v>1200</v>
      </c>
      <c r="L201" s="1" t="n">
        <v>175</v>
      </c>
      <c r="M201" s="1" t="n">
        <v>87.5</v>
      </c>
      <c r="X201" s="1" t="n">
        <v>1287.5</v>
      </c>
      <c r="Y201" s="1" t="n">
        <f aca="false">115.88+115.88</f>
        <v>231.76</v>
      </c>
      <c r="Z201" s="11" t="n">
        <f aca="false">X201+Y201</f>
        <v>1519.26</v>
      </c>
      <c r="AA201" s="1" t="n">
        <v>277</v>
      </c>
    </row>
    <row r="202" customFormat="false" ht="13.8" hidden="false" customHeight="false" outlineLevel="0" collapsed="false">
      <c r="B202" s="2" t="n">
        <v>14802361</v>
      </c>
      <c r="C202" s="3" t="n">
        <v>0.910416666666667</v>
      </c>
      <c r="D202" s="4" t="n">
        <v>44528</v>
      </c>
      <c r="E202" s="1" t="s">
        <v>30</v>
      </c>
      <c r="F202" s="1" t="n">
        <v>3441</v>
      </c>
      <c r="G202" s="1" t="n">
        <v>2</v>
      </c>
      <c r="H202" s="1" t="n">
        <v>2</v>
      </c>
      <c r="P202" s="1" t="n">
        <v>900</v>
      </c>
      <c r="Q202" s="1" t="n">
        <v>180</v>
      </c>
      <c r="X202" s="1" t="n">
        <v>720</v>
      </c>
      <c r="Y202" s="1" t="n">
        <v>144</v>
      </c>
      <c r="Z202" s="11" t="n">
        <f aca="false">X202+Y202</f>
        <v>864</v>
      </c>
      <c r="AA202" s="1" t="n">
        <v>277</v>
      </c>
    </row>
    <row r="203" customFormat="false" ht="13.8" hidden="false" customHeight="false" outlineLevel="0" collapsed="false">
      <c r="B203" s="2" t="n">
        <v>14832441</v>
      </c>
      <c r="C203" s="3" t="n">
        <v>0.55625</v>
      </c>
      <c r="D203" s="4" t="n">
        <v>44511</v>
      </c>
      <c r="E203" s="1" t="s">
        <v>27</v>
      </c>
      <c r="F203" s="1" t="n">
        <v>6201</v>
      </c>
      <c r="G203" s="1" t="n">
        <v>5</v>
      </c>
      <c r="H203" s="1" t="n">
        <v>5</v>
      </c>
      <c r="J203" s="1" t="n">
        <f aca="false">K203*5</f>
        <v>5625</v>
      </c>
      <c r="K203" s="1" t="n">
        <v>1125</v>
      </c>
      <c r="X203" s="1" t="n">
        <v>3300</v>
      </c>
      <c r="Y203" s="1" t="n">
        <f aca="false">297+297</f>
        <v>594</v>
      </c>
      <c r="Z203" s="11" t="n">
        <f aca="false">X203+Y203</f>
        <v>3894</v>
      </c>
      <c r="AA203" s="1" t="n">
        <v>277</v>
      </c>
    </row>
    <row r="204" customFormat="false" ht="13.8" hidden="false" customHeight="false" outlineLevel="0" collapsed="false">
      <c r="B204" s="2" t="n">
        <v>14836061</v>
      </c>
      <c r="C204" s="3" t="n">
        <v>0.882638888888889</v>
      </c>
      <c r="D204" s="4" t="n">
        <v>44610</v>
      </c>
      <c r="E204" s="1" t="s">
        <v>27</v>
      </c>
      <c r="F204" s="1" t="n">
        <v>6165</v>
      </c>
      <c r="G204" s="1" t="n">
        <v>3</v>
      </c>
      <c r="H204" s="1" t="n">
        <v>3</v>
      </c>
      <c r="J204" s="1" t="n">
        <v>600</v>
      </c>
      <c r="K204" s="1" t="n">
        <v>198</v>
      </c>
      <c r="X204" s="1" t="n">
        <v>198</v>
      </c>
      <c r="Y204" s="1" t="n">
        <f aca="false">36.18+36.18</f>
        <v>72.36</v>
      </c>
      <c r="Z204" s="1" t="n">
        <f aca="false">X204+Y204</f>
        <v>270.36</v>
      </c>
      <c r="AA204" s="1" t="n">
        <v>371</v>
      </c>
    </row>
    <row r="205" customFormat="false" ht="13.8" hidden="false" customHeight="false" outlineLevel="0" collapsed="false">
      <c r="B205" s="2" t="n">
        <v>14871681</v>
      </c>
      <c r="C205" s="3" t="n">
        <v>0.504166666666667</v>
      </c>
      <c r="D205" s="4" t="n">
        <v>44435</v>
      </c>
      <c r="E205" s="1" t="s">
        <v>28</v>
      </c>
      <c r="F205" s="1" t="n">
        <v>2378</v>
      </c>
      <c r="G205" s="1" t="n">
        <v>1</v>
      </c>
      <c r="H205" s="1" t="n">
        <v>1</v>
      </c>
      <c r="J205" s="12" t="n">
        <v>1100</v>
      </c>
      <c r="K205" s="12" t="n">
        <v>220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 t="n">
        <v>880</v>
      </c>
      <c r="Y205" s="12" t="n">
        <f aca="false">79.2+79.2</f>
        <v>158.4</v>
      </c>
      <c r="Z205" s="11" t="n">
        <f aca="false">X205+Y205</f>
        <v>1038.4</v>
      </c>
      <c r="AA205" s="13" t="s">
        <v>31</v>
      </c>
    </row>
    <row r="206" customFormat="false" ht="13.8" hidden="false" customHeight="false" outlineLevel="0" collapsed="false">
      <c r="B206" s="2" t="n">
        <v>14871681</v>
      </c>
      <c r="C206" s="3" t="n">
        <v>0.495833333333333</v>
      </c>
      <c r="D206" s="4" t="n">
        <v>44435</v>
      </c>
      <c r="E206" s="1" t="s">
        <v>28</v>
      </c>
      <c r="F206" s="1" t="n">
        <v>2376</v>
      </c>
      <c r="G206" s="1" t="n">
        <v>1</v>
      </c>
      <c r="H206" s="1" t="n">
        <v>1</v>
      </c>
      <c r="J206" s="12" t="n">
        <v>450</v>
      </c>
      <c r="K206" s="12" t="n">
        <v>90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 t="n">
        <v>360</v>
      </c>
      <c r="Y206" s="12" t="n">
        <f aca="false">32.4+32.4</f>
        <v>64.8</v>
      </c>
      <c r="Z206" s="11" t="n">
        <f aca="false">X206+Y206</f>
        <v>424.8</v>
      </c>
      <c r="AA206" s="13" t="s">
        <v>31</v>
      </c>
    </row>
    <row r="207" customFormat="false" ht="13.8" hidden="false" customHeight="false" outlineLevel="0" collapsed="false">
      <c r="B207" s="2" t="n">
        <v>14937331</v>
      </c>
      <c r="C207" s="3" t="n">
        <v>0.329166666666667</v>
      </c>
      <c r="D207" s="4" t="n">
        <v>44426</v>
      </c>
      <c r="E207" s="1" t="s">
        <v>27</v>
      </c>
      <c r="F207" s="1" t="n">
        <v>3323</v>
      </c>
      <c r="G207" s="1" t="n">
        <v>2</v>
      </c>
      <c r="H207" s="1" t="n">
        <v>2</v>
      </c>
      <c r="J207" s="12" t="n">
        <v>600</v>
      </c>
      <c r="K207" s="12" t="n">
        <v>600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 t="n">
        <v>600</v>
      </c>
      <c r="Y207" s="12" t="n">
        <v>120</v>
      </c>
      <c r="Z207" s="11" t="n">
        <f aca="false">X207+Y207</f>
        <v>720</v>
      </c>
      <c r="AA207" s="13" t="s">
        <v>38</v>
      </c>
    </row>
    <row r="208" customFormat="false" ht="13.8" hidden="false" customHeight="false" outlineLevel="0" collapsed="false">
      <c r="B208" s="2" t="n">
        <v>14955011</v>
      </c>
      <c r="C208" s="3" t="n">
        <v>0.861805555555556</v>
      </c>
      <c r="D208" s="4" t="n">
        <v>44600</v>
      </c>
      <c r="E208" s="1" t="s">
        <v>27</v>
      </c>
      <c r="F208" s="1" t="n">
        <v>6731</v>
      </c>
      <c r="G208" s="1" t="n">
        <v>2</v>
      </c>
      <c r="H208" s="1" t="n">
        <v>2</v>
      </c>
      <c r="J208" s="1" t="n">
        <v>1350</v>
      </c>
      <c r="K208" s="1" t="n">
        <v>675</v>
      </c>
      <c r="X208" s="1" t="n">
        <v>675</v>
      </c>
      <c r="Y208" s="1" t="n">
        <f aca="false">60.75+60.7</f>
        <v>121.45</v>
      </c>
      <c r="Z208" s="1" t="n">
        <f aca="false">X208+Y208</f>
        <v>796.45</v>
      </c>
      <c r="AA208" s="1" t="n">
        <v>371</v>
      </c>
    </row>
    <row r="209" customFormat="false" ht="13.8" hidden="false" customHeight="false" outlineLevel="0" collapsed="false">
      <c r="B209" s="2" t="n">
        <v>14962871</v>
      </c>
      <c r="C209" s="3" t="n">
        <v>0.899305555555555</v>
      </c>
      <c r="D209" s="4" t="n">
        <v>44555</v>
      </c>
      <c r="E209" s="1" t="s">
        <v>30</v>
      </c>
      <c r="F209" s="1" t="n">
        <v>3751</v>
      </c>
      <c r="G209" s="1" t="n">
        <v>2</v>
      </c>
      <c r="H209" s="1" t="n">
        <v>2</v>
      </c>
      <c r="O209" s="1" t="n">
        <v>4000</v>
      </c>
      <c r="P209" s="1" t="n">
        <v>800</v>
      </c>
      <c r="X209" s="1" t="n">
        <v>3200</v>
      </c>
      <c r="Y209" s="1" t="n">
        <v>640</v>
      </c>
      <c r="Z209" s="1" t="n">
        <f aca="false">X209+Y209</f>
        <v>3840</v>
      </c>
      <c r="AA209" s="1" t="n">
        <v>277</v>
      </c>
    </row>
    <row r="210" customFormat="false" ht="13.8" hidden="false" customHeight="false" outlineLevel="0" collapsed="false">
      <c r="B210" s="2" t="n">
        <v>14972781</v>
      </c>
      <c r="C210" s="3" t="n">
        <v>0.351388888888889</v>
      </c>
      <c r="D210" s="4" t="n">
        <v>44474</v>
      </c>
      <c r="E210" s="1" t="s">
        <v>27</v>
      </c>
      <c r="F210" s="1" t="n">
        <v>6694</v>
      </c>
      <c r="G210" s="1" t="n">
        <v>3</v>
      </c>
      <c r="H210" s="1" t="n">
        <v>3</v>
      </c>
      <c r="J210" s="12" t="n">
        <v>4248</v>
      </c>
      <c r="K210" s="12" t="n">
        <v>1188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 t="n">
        <v>2412</v>
      </c>
      <c r="Y210" s="12" t="n">
        <f aca="false">217.08+217.08</f>
        <v>434.16</v>
      </c>
      <c r="Z210" s="11" t="n">
        <f aca="false">X210+Y210</f>
        <v>2846.16</v>
      </c>
      <c r="AA210" s="13" t="s">
        <v>31</v>
      </c>
    </row>
    <row r="211" customFormat="false" ht="13.8" hidden="false" customHeight="false" outlineLevel="0" collapsed="false">
      <c r="B211" s="2" t="n">
        <v>14972791</v>
      </c>
      <c r="C211" s="3" t="n">
        <v>0.389583333333333</v>
      </c>
      <c r="D211" s="4" t="n">
        <v>44478</v>
      </c>
      <c r="E211" s="1" t="s">
        <v>27</v>
      </c>
      <c r="F211" s="1" t="n">
        <v>6837</v>
      </c>
      <c r="G211" s="1" t="n">
        <v>2</v>
      </c>
      <c r="H211" s="1" t="n">
        <v>2</v>
      </c>
      <c r="J211" s="12" t="n">
        <v>1398</v>
      </c>
      <c r="K211" s="12" t="n">
        <v>699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 t="n">
        <v>699</v>
      </c>
      <c r="Y211" s="12" t="n">
        <f aca="false">62.91+62.91</f>
        <v>125.82</v>
      </c>
      <c r="Z211" s="11" t="n">
        <f aca="false">X211+Y211</f>
        <v>824.82</v>
      </c>
      <c r="AA211" s="13" t="s">
        <v>31</v>
      </c>
    </row>
    <row r="212" customFormat="false" ht="13.8" hidden="false" customHeight="false" outlineLevel="0" collapsed="false">
      <c r="B212" s="2" t="n">
        <v>14972791</v>
      </c>
      <c r="C212" s="3" t="n">
        <v>0.904861111111111</v>
      </c>
      <c r="D212" s="4" t="n">
        <v>44545</v>
      </c>
      <c r="E212" s="1" t="s">
        <v>27</v>
      </c>
      <c r="F212" s="1" t="n">
        <v>6546</v>
      </c>
      <c r="G212" s="1" t="n">
        <v>3</v>
      </c>
      <c r="H212" s="1" t="n">
        <v>3</v>
      </c>
      <c r="J212" s="1" t="n">
        <v>3600</v>
      </c>
      <c r="K212" s="1" t="n">
        <v>1188</v>
      </c>
      <c r="X212" s="1" t="n">
        <v>2412</v>
      </c>
      <c r="Y212" s="1" t="n">
        <f aca="false">217.08+217.08</f>
        <v>434.16</v>
      </c>
      <c r="Z212" s="1" t="n">
        <f aca="false">X212+Y212</f>
        <v>2846.16</v>
      </c>
      <c r="AA212" s="1" t="n">
        <v>277</v>
      </c>
    </row>
    <row r="213" customFormat="false" ht="13.8" hidden="false" customHeight="false" outlineLevel="0" collapsed="false">
      <c r="B213" s="2" t="n">
        <v>14986761</v>
      </c>
      <c r="C213" s="3" t="n">
        <v>0.827083333333333</v>
      </c>
      <c r="D213" s="4" t="n">
        <v>44568</v>
      </c>
      <c r="E213" s="1" t="s">
        <v>30</v>
      </c>
      <c r="F213" s="1" t="n">
        <v>3903</v>
      </c>
      <c r="G213" s="1" t="n">
        <v>3</v>
      </c>
      <c r="H213" s="1" t="n">
        <v>3</v>
      </c>
      <c r="O213" s="1" t="n">
        <v>3540</v>
      </c>
      <c r="P213" s="1" t="n">
        <v>1770</v>
      </c>
      <c r="X213" s="1" t="n">
        <v>1770</v>
      </c>
      <c r="Y213" s="1" t="n">
        <v>354</v>
      </c>
      <c r="Z213" s="1" t="n">
        <f aca="false">X213+Y213</f>
        <v>2124</v>
      </c>
      <c r="AA213" s="1" t="n">
        <v>371</v>
      </c>
    </row>
    <row r="214" customFormat="false" ht="13.8" hidden="false" customHeight="false" outlineLevel="0" collapsed="false">
      <c r="B214" s="2" t="n">
        <v>121000791</v>
      </c>
      <c r="C214" s="3" t="n">
        <v>0.846527777777778</v>
      </c>
      <c r="D214" s="4" t="n">
        <v>44489</v>
      </c>
      <c r="E214" s="1" t="s">
        <v>30</v>
      </c>
      <c r="F214" s="1" t="n">
        <v>3995</v>
      </c>
      <c r="G214" s="1" t="n">
        <v>1</v>
      </c>
      <c r="H214" s="1" t="n">
        <v>1</v>
      </c>
      <c r="P214" s="1" t="n">
        <v>675</v>
      </c>
      <c r="Q214" s="1" t="n">
        <v>135</v>
      </c>
      <c r="X214" s="1" t="n">
        <v>540</v>
      </c>
      <c r="Y214" s="1" t="n">
        <v>108</v>
      </c>
      <c r="Z214" s="11" t="n">
        <f aca="false">X214+Y214</f>
        <v>648</v>
      </c>
      <c r="AA214" s="1" t="n">
        <v>277</v>
      </c>
    </row>
    <row r="215" customFormat="false" ht="13.8" hidden="false" customHeight="false" outlineLevel="0" collapsed="false">
      <c r="B215" s="2" t="n">
        <v>126228101</v>
      </c>
      <c r="C215" s="3" t="n">
        <v>0.836111111111111</v>
      </c>
      <c r="D215" s="4" t="n">
        <v>44604</v>
      </c>
      <c r="E215" s="1" t="s">
        <v>30</v>
      </c>
      <c r="F215" s="1" t="n">
        <v>3981</v>
      </c>
      <c r="G215" s="1" t="n">
        <v>2</v>
      </c>
      <c r="H215" s="1" t="n">
        <v>2</v>
      </c>
      <c r="O215" s="1" t="n">
        <v>495</v>
      </c>
      <c r="P215" s="1" t="n">
        <v>184</v>
      </c>
      <c r="X215" s="1" t="n">
        <v>736</v>
      </c>
      <c r="Y215" s="1" t="n">
        <v>147.2</v>
      </c>
      <c r="Z215" s="1" t="n">
        <f aca="false">X215+Y215</f>
        <v>883.2</v>
      </c>
      <c r="AA215" s="1" t="n">
        <v>371</v>
      </c>
    </row>
    <row r="216" customFormat="false" ht="13.8" hidden="false" customHeight="false" outlineLevel="0" collapsed="false">
      <c r="A216" s="11"/>
      <c r="B216" s="11" t="s">
        <v>43</v>
      </c>
      <c r="C216" s="23" t="n">
        <v>0.132638888888889</v>
      </c>
      <c r="D216" s="24" t="n">
        <v>44360</v>
      </c>
      <c r="E216" s="11" t="s">
        <v>27</v>
      </c>
      <c r="F216" s="11" t="n">
        <v>6199</v>
      </c>
      <c r="G216" s="11" t="n">
        <v>1</v>
      </c>
      <c r="H216" s="11" t="n">
        <v>1</v>
      </c>
      <c r="I216" s="11"/>
      <c r="J216" s="11" t="n">
        <v>1150</v>
      </c>
      <c r="K216" s="11" t="n">
        <v>230</v>
      </c>
      <c r="L216" s="11"/>
      <c r="M216" s="11"/>
      <c r="N216" s="11"/>
      <c r="O216" s="11"/>
      <c r="P216" s="11"/>
      <c r="Q216" s="11"/>
      <c r="R216" s="11" t="n">
        <v>920</v>
      </c>
      <c r="S216" s="11" t="n">
        <v>920</v>
      </c>
      <c r="T216" s="11" t="n">
        <v>165.6</v>
      </c>
      <c r="U216" s="11" t="n">
        <v>1085.6</v>
      </c>
      <c r="V216" s="11" t="n">
        <v>742</v>
      </c>
      <c r="W216" s="11"/>
      <c r="X216" s="11" t="n">
        <v>920</v>
      </c>
      <c r="Y216" s="11" t="n">
        <v>165.6</v>
      </c>
      <c r="Z216" s="11" t="n">
        <v>1085.6</v>
      </c>
      <c r="AA216" s="11" t="n">
        <v>742</v>
      </c>
    </row>
    <row r="217" customFormat="false" ht="13.8" hidden="false" customHeight="false" outlineLevel="0" collapsed="false">
      <c r="A217" s="11"/>
      <c r="B217" s="11" t="s">
        <v>44</v>
      </c>
      <c r="C217" s="23" t="n">
        <v>0.313194444444444</v>
      </c>
      <c r="D217" s="24" t="n">
        <v>44356</v>
      </c>
      <c r="E217" s="11" t="s">
        <v>27</v>
      </c>
      <c r="F217" s="11" t="n">
        <v>6108</v>
      </c>
      <c r="G217" s="11" t="n">
        <v>2</v>
      </c>
      <c r="H217" s="11" t="n">
        <v>2</v>
      </c>
      <c r="I217" s="11"/>
      <c r="J217" s="11" t="n">
        <v>1675</v>
      </c>
      <c r="K217" s="11" t="n">
        <v>335</v>
      </c>
      <c r="L217" s="11"/>
      <c r="M217" s="11"/>
      <c r="N217" s="11"/>
      <c r="O217" s="11"/>
      <c r="P217" s="11"/>
      <c r="Q217" s="11"/>
      <c r="R217" s="11" t="n">
        <v>1340</v>
      </c>
      <c r="S217" s="11" t="n">
        <v>1340</v>
      </c>
      <c r="T217" s="11" t="n">
        <v>240.6</v>
      </c>
      <c r="U217" s="11" t="n">
        <v>1580.6</v>
      </c>
      <c r="V217" s="11" t="n">
        <v>742</v>
      </c>
      <c r="W217" s="11"/>
      <c r="X217" s="11" t="n">
        <v>1340</v>
      </c>
      <c r="Y217" s="11" t="n">
        <v>240.6</v>
      </c>
      <c r="Z217" s="11" t="n">
        <v>1580.6</v>
      </c>
      <c r="AA217" s="11" t="n">
        <v>742</v>
      </c>
    </row>
    <row r="218" customFormat="false" ht="13.8" hidden="false" customHeight="false" outlineLevel="0" collapsed="false">
      <c r="A218" s="11"/>
      <c r="B218" s="11" t="s">
        <v>45</v>
      </c>
      <c r="C218" s="23" t="n">
        <v>0.347222222222222</v>
      </c>
      <c r="D218" s="24" t="n">
        <v>44366</v>
      </c>
      <c r="E218" s="11" t="s">
        <v>27</v>
      </c>
      <c r="F218" s="11" t="n">
        <v>6337</v>
      </c>
      <c r="G218" s="11" t="n">
        <v>2</v>
      </c>
      <c r="H218" s="11" t="n">
        <v>2</v>
      </c>
      <c r="I218" s="11"/>
      <c r="J218" s="11" t="n">
        <v>2000</v>
      </c>
      <c r="K218" s="11" t="n">
        <v>1000</v>
      </c>
      <c r="L218" s="11"/>
      <c r="M218" s="11"/>
      <c r="N218" s="11"/>
      <c r="O218" s="11"/>
      <c r="P218" s="11"/>
      <c r="Q218" s="11"/>
      <c r="R218" s="11" t="n">
        <v>1000</v>
      </c>
      <c r="S218" s="11" t="n">
        <v>1000</v>
      </c>
      <c r="T218" s="11" t="n">
        <v>180</v>
      </c>
      <c r="U218" s="11" t="n">
        <v>1180</v>
      </c>
      <c r="V218" s="11" t="n">
        <v>742</v>
      </c>
      <c r="W218" s="11"/>
      <c r="X218" s="11" t="n">
        <v>1000</v>
      </c>
      <c r="Y218" s="11" t="n">
        <v>180</v>
      </c>
      <c r="Z218" s="11" t="n">
        <v>1180</v>
      </c>
      <c r="AA218" s="11" t="n">
        <v>742</v>
      </c>
    </row>
    <row r="219" customFormat="false" ht="13.8" hidden="false" customHeight="false" outlineLevel="0" collapsed="false">
      <c r="B219" s="2" t="s">
        <v>46</v>
      </c>
      <c r="C219" s="3" t="n">
        <v>0.152083333333333</v>
      </c>
      <c r="D219" s="4" t="n">
        <v>44414</v>
      </c>
      <c r="E219" s="1" t="s">
        <v>27</v>
      </c>
      <c r="F219" s="1" t="n">
        <v>6392</v>
      </c>
      <c r="G219" s="1" t="n">
        <v>2</v>
      </c>
      <c r="H219" s="1" t="n">
        <v>2</v>
      </c>
      <c r="J219" s="12" t="n">
        <v>1625</v>
      </c>
      <c r="K219" s="12" t="n">
        <v>812.5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 t="n">
        <v>812.5</v>
      </c>
      <c r="Y219" s="12" t="n">
        <f aca="false">73.13+73.13</f>
        <v>146.26</v>
      </c>
      <c r="Z219" s="11" t="n">
        <f aca="false">X219+Y219</f>
        <v>958.76</v>
      </c>
      <c r="AA219" s="13" t="s">
        <v>34</v>
      </c>
    </row>
    <row r="220" customFormat="false" ht="14.9" hidden="false" customHeight="false" outlineLevel="0" collapsed="false">
      <c r="B220" s="25" t="s">
        <v>47</v>
      </c>
      <c r="C220" s="3" t="n">
        <v>0.0729166666666667</v>
      </c>
      <c r="D220" s="4" t="n">
        <v>44443</v>
      </c>
      <c r="E220" s="1" t="s">
        <v>27</v>
      </c>
      <c r="F220" s="1" t="n">
        <v>6455</v>
      </c>
      <c r="G220" s="1" t="n">
        <v>2</v>
      </c>
      <c r="H220" s="1" t="n">
        <v>2</v>
      </c>
      <c r="J220" s="12" t="n">
        <v>1000</v>
      </c>
      <c r="K220" s="12" t="n">
        <v>500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 t="n">
        <v>500</v>
      </c>
      <c r="Y220" s="12" t="n">
        <v>90</v>
      </c>
      <c r="Z220" s="11" t="n">
        <f aca="false">X220+Y220</f>
        <v>590</v>
      </c>
      <c r="AA220" s="13" t="s">
        <v>29</v>
      </c>
    </row>
    <row r="221" customFormat="false" ht="13.8" hidden="false" customHeight="false" outlineLevel="0" collapsed="false">
      <c r="B221" s="2" t="s">
        <v>48</v>
      </c>
      <c r="C221" s="3" t="n">
        <v>0.904861111111111</v>
      </c>
      <c r="D221" s="4" t="n">
        <v>44507</v>
      </c>
      <c r="E221" s="1" t="s">
        <v>27</v>
      </c>
      <c r="F221" s="1" t="n">
        <v>6109</v>
      </c>
      <c r="G221" s="1" t="n">
        <v>9</v>
      </c>
      <c r="H221" s="1" t="n">
        <v>9</v>
      </c>
      <c r="J221" s="1" t="n">
        <v>10800</v>
      </c>
      <c r="K221" s="1" t="n">
        <v>5400</v>
      </c>
      <c r="X221" s="1" t="n">
        <v>5400</v>
      </c>
      <c r="Y221" s="1" t="n">
        <f aca="false">486+486</f>
        <v>972</v>
      </c>
      <c r="Z221" s="11" t="n">
        <f aca="false">X221+Y221</f>
        <v>6372</v>
      </c>
      <c r="AA221" s="1" t="n">
        <v>277</v>
      </c>
    </row>
    <row r="222" customFormat="false" ht="13.8" hidden="false" customHeight="false" outlineLevel="0" collapsed="false">
      <c r="B222" s="2" t="s">
        <v>49</v>
      </c>
      <c r="C222" s="3" t="n">
        <v>0.830555555555556</v>
      </c>
      <c r="D222" s="4" t="n">
        <v>44504</v>
      </c>
      <c r="E222" s="1" t="s">
        <v>27</v>
      </c>
      <c r="F222" s="1" t="n">
        <v>6974</v>
      </c>
      <c r="G222" s="1" t="n">
        <v>10</v>
      </c>
      <c r="H222" s="1" t="n">
        <v>10</v>
      </c>
      <c r="J222" s="1" t="n">
        <v>12000</v>
      </c>
      <c r="K222" s="1" t="n">
        <v>6625</v>
      </c>
      <c r="X222" s="1" t="n">
        <v>5375</v>
      </c>
      <c r="Y222" s="1" t="n">
        <f aca="false">540+540</f>
        <v>1080</v>
      </c>
      <c r="Z222" s="11" t="n">
        <f aca="false">X222+Y222</f>
        <v>6455</v>
      </c>
      <c r="AA222" s="1" t="n">
        <v>277</v>
      </c>
    </row>
    <row r="223" customFormat="false" ht="13.8" hidden="false" customHeight="false" outlineLevel="0" collapsed="false">
      <c r="B223" s="2" t="s">
        <v>50</v>
      </c>
      <c r="C223" s="3" t="n">
        <v>0.36875</v>
      </c>
      <c r="D223" s="4" t="n">
        <v>44472</v>
      </c>
      <c r="E223" s="1" t="s">
        <v>27</v>
      </c>
      <c r="F223" s="1" t="n">
        <v>6615</v>
      </c>
      <c r="G223" s="1" t="n">
        <v>4</v>
      </c>
      <c r="H223" s="1" t="n">
        <v>4</v>
      </c>
      <c r="J223" s="12" t="n">
        <f aca="false">K223*2</f>
        <v>2975</v>
      </c>
      <c r="K223" s="12" t="n">
        <v>1487.5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 t="n">
        <v>1837</v>
      </c>
      <c r="Y223" s="12" t="n">
        <f aca="false">165.39+165.39</f>
        <v>330.78</v>
      </c>
      <c r="Z223" s="11" t="n">
        <f aca="false">X223+Y223</f>
        <v>2167.78</v>
      </c>
      <c r="AA223" s="13" t="s">
        <v>31</v>
      </c>
    </row>
    <row r="224" customFormat="false" ht="13.8" hidden="false" customHeight="false" outlineLevel="0" collapsed="false">
      <c r="B224" s="2" t="s">
        <v>51</v>
      </c>
      <c r="C224" s="3" t="n">
        <v>0.80625</v>
      </c>
      <c r="D224" s="4" t="n">
        <v>44507</v>
      </c>
      <c r="E224" s="1" t="s">
        <v>27</v>
      </c>
      <c r="F224" s="1" t="n">
        <v>6099</v>
      </c>
      <c r="G224" s="1" t="n">
        <v>6</v>
      </c>
      <c r="H224" s="1" t="n">
        <v>6</v>
      </c>
      <c r="J224" s="1" t="n">
        <v>7200</v>
      </c>
      <c r="K224" s="1" t="n">
        <v>3600</v>
      </c>
      <c r="L224" s="1" t="n">
        <v>1400</v>
      </c>
      <c r="M224" s="1" t="n">
        <v>280</v>
      </c>
      <c r="X224" s="1" t="n">
        <v>4720</v>
      </c>
      <c r="Y224" s="1" t="n">
        <f aca="false">424.8+424.8</f>
        <v>849.6</v>
      </c>
      <c r="Z224" s="11" t="n">
        <f aca="false">X224+Y224</f>
        <v>5569.6</v>
      </c>
      <c r="AA224" s="1" t="n">
        <v>277</v>
      </c>
    </row>
    <row r="225" customFormat="false" ht="13.8" hidden="false" customHeight="false" outlineLevel="0" collapsed="false">
      <c r="B225" s="2" t="s">
        <v>52</v>
      </c>
      <c r="C225" s="3" t="n">
        <v>0.340972222222222</v>
      </c>
      <c r="D225" s="4" t="n">
        <v>44471</v>
      </c>
      <c r="E225" s="1" t="s">
        <v>27</v>
      </c>
      <c r="F225" s="1" t="n">
        <v>6579</v>
      </c>
      <c r="G225" s="1" t="n">
        <v>9</v>
      </c>
      <c r="H225" s="1" t="n">
        <v>9</v>
      </c>
      <c r="J225" s="12" t="n">
        <v>4600</v>
      </c>
      <c r="K225" s="12" t="n">
        <v>2300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 t="n">
        <v>2300</v>
      </c>
      <c r="Y225" s="12" t="n">
        <f aca="false">207+207</f>
        <v>414</v>
      </c>
      <c r="Z225" s="11" t="n">
        <f aca="false">X225+Y225</f>
        <v>2714</v>
      </c>
      <c r="AA225" s="13" t="s">
        <v>31</v>
      </c>
    </row>
    <row r="226" customFormat="false" ht="13.8" hidden="false" customHeight="false" outlineLevel="0" collapsed="false">
      <c r="B226" s="2" t="s">
        <v>53</v>
      </c>
      <c r="C226" s="3" t="n">
        <v>8.11</v>
      </c>
      <c r="D226" s="4" t="n">
        <v>44471</v>
      </c>
      <c r="E226" s="1" t="s">
        <v>27</v>
      </c>
      <c r="F226" s="1" t="n">
        <v>6565</v>
      </c>
      <c r="G226" s="1" t="n">
        <v>9</v>
      </c>
      <c r="H226" s="1" t="n">
        <v>9</v>
      </c>
      <c r="J226" s="12" t="n">
        <f aca="false">K226*2</f>
        <v>5300</v>
      </c>
      <c r="K226" s="12" t="n">
        <v>2650</v>
      </c>
      <c r="L226" s="12" t="n">
        <f aca="false">M226*5</f>
        <v>525</v>
      </c>
      <c r="M226" s="12" t="n">
        <v>105</v>
      </c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 t="n">
        <v>3070</v>
      </c>
      <c r="Y226" s="12" t="n">
        <f aca="false">276.3+276.3</f>
        <v>552.6</v>
      </c>
      <c r="Z226" s="11" t="n">
        <f aca="false">X226+Y226</f>
        <v>3622.6</v>
      </c>
      <c r="AA226" s="13" t="s">
        <v>31</v>
      </c>
    </row>
    <row r="227" customFormat="false" ht="13.8" hidden="false" customHeight="false" outlineLevel="0" collapsed="false">
      <c r="B227" s="2" t="s">
        <v>54</v>
      </c>
      <c r="C227" s="3" t="n">
        <v>0.904166666666667</v>
      </c>
      <c r="D227" s="4" t="n">
        <v>44507</v>
      </c>
      <c r="E227" s="1" t="s">
        <v>27</v>
      </c>
      <c r="F227" s="1" t="n">
        <v>6108</v>
      </c>
      <c r="G227" s="1" t="n">
        <v>10</v>
      </c>
      <c r="H227" s="1" t="n">
        <v>10</v>
      </c>
      <c r="J227" s="1" t="n">
        <v>12000</v>
      </c>
      <c r="K227" s="1" t="n">
        <v>6000</v>
      </c>
      <c r="X227" s="1" t="n">
        <v>6000</v>
      </c>
      <c r="Y227" s="1" t="n">
        <v>1080</v>
      </c>
      <c r="Z227" s="11" t="n">
        <f aca="false">X227+Y227</f>
        <v>7080</v>
      </c>
      <c r="AA227" s="1" t="n">
        <v>277</v>
      </c>
    </row>
    <row r="228" customFormat="false" ht="13.8" hidden="false" customHeight="false" outlineLevel="0" collapsed="false">
      <c r="B228" s="2" t="s">
        <v>55</v>
      </c>
      <c r="C228" s="3" t="n">
        <v>0.615277777777778</v>
      </c>
      <c r="D228" s="4" t="n">
        <v>44609</v>
      </c>
      <c r="E228" s="1" t="s">
        <v>27</v>
      </c>
      <c r="F228" s="1" t="n">
        <v>6112</v>
      </c>
      <c r="G228" s="1" t="n">
        <v>2</v>
      </c>
      <c r="H228" s="1" t="n">
        <v>2</v>
      </c>
      <c r="J228" s="1" t="n">
        <v>1250</v>
      </c>
      <c r="K228" s="1" t="n">
        <v>625</v>
      </c>
      <c r="X228" s="1" t="n">
        <v>625</v>
      </c>
      <c r="Y228" s="1" t="n">
        <f aca="false">56.25+56.25</f>
        <v>112.5</v>
      </c>
      <c r="Z228" s="1" t="n">
        <f aca="false">X228+Y228</f>
        <v>737.5</v>
      </c>
      <c r="AA228" s="1" t="n">
        <v>340</v>
      </c>
    </row>
    <row r="229" customFormat="false" ht="13.8" hidden="false" customHeight="false" outlineLevel="0" collapsed="false">
      <c r="B229" s="2" t="s">
        <v>56</v>
      </c>
      <c r="C229" s="3" t="n">
        <v>0.921527777777778</v>
      </c>
      <c r="D229" s="4" t="n">
        <v>44496</v>
      </c>
      <c r="E229" s="1" t="s">
        <v>27</v>
      </c>
      <c r="F229" s="1" t="n">
        <v>6664</v>
      </c>
      <c r="G229" s="1" t="n">
        <v>10</v>
      </c>
      <c r="H229" s="1" t="n">
        <v>10</v>
      </c>
      <c r="J229" s="1" t="n">
        <v>12000</v>
      </c>
      <c r="K229" s="1" t="n">
        <v>6000</v>
      </c>
      <c r="X229" s="1" t="n">
        <v>6000</v>
      </c>
      <c r="Y229" s="1" t="n">
        <v>1080</v>
      </c>
      <c r="Z229" s="11" t="n">
        <f aca="false">X229+Y229</f>
        <v>7080</v>
      </c>
      <c r="AA229" s="1" t="n">
        <v>277</v>
      </c>
    </row>
    <row r="230" customFormat="false" ht="13.8" hidden="false" customHeight="false" outlineLevel="0" collapsed="false">
      <c r="B230" s="2" t="s">
        <v>57</v>
      </c>
      <c r="C230" s="3" t="n">
        <v>0.599305555555556</v>
      </c>
      <c r="D230" s="4" t="n">
        <v>44502</v>
      </c>
      <c r="E230" s="1" t="s">
        <v>27</v>
      </c>
      <c r="F230" s="1" t="n">
        <v>6910</v>
      </c>
      <c r="G230" s="1" t="n">
        <v>5</v>
      </c>
      <c r="H230" s="1" t="n">
        <v>5</v>
      </c>
      <c r="J230" s="1" t="n">
        <v>5000</v>
      </c>
      <c r="K230" s="1" t="n">
        <v>2500</v>
      </c>
      <c r="X230" s="1" t="n">
        <v>2500</v>
      </c>
      <c r="Y230" s="1" t="n">
        <v>450</v>
      </c>
      <c r="Z230" s="11" t="n">
        <f aca="false">X230+Y230</f>
        <v>2950</v>
      </c>
      <c r="AA230" s="1" t="n">
        <v>330</v>
      </c>
    </row>
    <row r="231" customFormat="false" ht="14.9" hidden="false" customHeight="false" outlineLevel="0" collapsed="false">
      <c r="B231" s="25" t="s">
        <v>58</v>
      </c>
      <c r="C231" s="3" t="n">
        <v>0.539583333333333</v>
      </c>
      <c r="D231" s="4" t="n">
        <v>44442</v>
      </c>
      <c r="E231" s="1" t="s">
        <v>27</v>
      </c>
      <c r="F231" s="1" t="n">
        <v>6408</v>
      </c>
      <c r="G231" s="1" t="n">
        <v>3</v>
      </c>
      <c r="H231" s="1" t="n">
        <v>3</v>
      </c>
      <c r="J231" s="12" t="n">
        <v>2000</v>
      </c>
      <c r="K231" s="12" t="n">
        <v>1000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 t="n">
        <v>1000</v>
      </c>
      <c r="Y231" s="12" t="n">
        <v>180</v>
      </c>
      <c r="Z231" s="11" t="n">
        <f aca="false">X231+Y231</f>
        <v>1180</v>
      </c>
      <c r="AA231" s="13" t="s">
        <v>29</v>
      </c>
    </row>
    <row r="232" customFormat="false" ht="13.8" hidden="false" customHeight="false" outlineLevel="0" collapsed="false">
      <c r="B232" s="2" t="s">
        <v>59</v>
      </c>
      <c r="C232" s="3" t="n">
        <v>0.869444444444444</v>
      </c>
      <c r="D232" s="4" t="n">
        <v>44501</v>
      </c>
      <c r="E232" s="1" t="s">
        <v>27</v>
      </c>
      <c r="F232" s="1" t="n">
        <v>6887</v>
      </c>
      <c r="G232" s="1" t="n">
        <v>7</v>
      </c>
      <c r="H232" s="1" t="n">
        <v>7</v>
      </c>
      <c r="J232" s="1" t="n">
        <v>10200</v>
      </c>
      <c r="K232" s="1" t="n">
        <v>5100</v>
      </c>
      <c r="X232" s="1" t="n">
        <v>5100</v>
      </c>
      <c r="Y232" s="1" t="n">
        <f aca="false">459+459</f>
        <v>918</v>
      </c>
      <c r="Z232" s="11" t="n">
        <f aca="false">X232+Y232</f>
        <v>6018</v>
      </c>
      <c r="AA232" s="1" t="n">
        <v>763</v>
      </c>
    </row>
    <row r="233" customFormat="false" ht="13.8" hidden="false" customHeight="false" outlineLevel="0" collapsed="false">
      <c r="B233" s="2" t="s">
        <v>60</v>
      </c>
      <c r="C233" s="3" t="n">
        <v>0.859722222222222</v>
      </c>
      <c r="D233" s="4" t="n">
        <v>44479</v>
      </c>
      <c r="E233" s="1" t="s">
        <v>27</v>
      </c>
      <c r="F233" s="1" t="n">
        <v>6918</v>
      </c>
      <c r="G233" s="1" t="n">
        <v>7</v>
      </c>
      <c r="H233" s="1" t="n">
        <v>7</v>
      </c>
      <c r="J233" s="12" t="n">
        <v>8400</v>
      </c>
      <c r="K233" s="12" t="n">
        <v>4200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 t="n">
        <v>4200</v>
      </c>
      <c r="Y233" s="12" t="n">
        <f aca="false">378+378</f>
        <v>756</v>
      </c>
      <c r="Z233" s="11" t="n">
        <f aca="false">X233+Y233</f>
        <v>4956</v>
      </c>
      <c r="AA233" s="13" t="s">
        <v>31</v>
      </c>
    </row>
    <row r="234" customFormat="false" ht="13.8" hidden="false" customHeight="false" outlineLevel="0" collapsed="false">
      <c r="B234" s="2" t="s">
        <v>61</v>
      </c>
      <c r="C234" s="3" t="n">
        <v>0.992361111111111</v>
      </c>
      <c r="D234" s="4" t="n">
        <v>44539</v>
      </c>
      <c r="E234" s="1" t="s">
        <v>27</v>
      </c>
      <c r="F234" s="1" t="n">
        <v>6323</v>
      </c>
      <c r="G234" s="1" t="n">
        <v>10</v>
      </c>
      <c r="H234" s="1" t="n">
        <v>10</v>
      </c>
      <c r="J234" s="1" t="n">
        <v>12000</v>
      </c>
      <c r="K234" s="1" t="n">
        <v>6000</v>
      </c>
      <c r="X234" s="1" t="n">
        <v>6000</v>
      </c>
      <c r="Y234" s="1" t="n">
        <v>1080</v>
      </c>
      <c r="Z234" s="1" t="n">
        <f aca="false">X234+Y234</f>
        <v>7080</v>
      </c>
      <c r="AA234" s="1" t="n">
        <v>369</v>
      </c>
    </row>
    <row r="235" customFormat="false" ht="13.8" hidden="false" customHeight="false" outlineLevel="0" collapsed="false">
      <c r="B235" s="2" t="s">
        <v>62</v>
      </c>
      <c r="C235" s="3" t="n">
        <v>0.0965277777777778</v>
      </c>
      <c r="D235" s="4" t="n">
        <v>44415</v>
      </c>
      <c r="E235" s="1" t="s">
        <v>27</v>
      </c>
      <c r="F235" s="1" t="n">
        <v>6424</v>
      </c>
      <c r="G235" s="1" t="n">
        <v>6</v>
      </c>
      <c r="H235" s="1" t="n">
        <v>6</v>
      </c>
      <c r="J235" s="12" t="n">
        <v>6495</v>
      </c>
      <c r="K235" s="12" t="n">
        <v>3247.5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 t="n">
        <v>3247.5</v>
      </c>
      <c r="Y235" s="12" t="n">
        <f aca="false">292.28+292.28</f>
        <v>584.56</v>
      </c>
      <c r="Z235" s="11" t="n">
        <f aca="false">X235+Y235</f>
        <v>3832.06</v>
      </c>
      <c r="AA235" s="13" t="s">
        <v>33</v>
      </c>
    </row>
    <row r="236" customFormat="false" ht="13.8" hidden="false" customHeight="false" outlineLevel="0" collapsed="false">
      <c r="B236" s="2" t="s">
        <v>63</v>
      </c>
      <c r="C236" s="3" t="n">
        <v>0.900694444444444</v>
      </c>
      <c r="D236" s="4" t="n">
        <v>44507</v>
      </c>
      <c r="E236" s="1" t="s">
        <v>27</v>
      </c>
      <c r="F236" s="1" t="n">
        <v>6107</v>
      </c>
      <c r="G236" s="1" t="n">
        <v>6</v>
      </c>
      <c r="H236" s="1" t="n">
        <v>6</v>
      </c>
      <c r="J236" s="1" t="n">
        <v>7200</v>
      </c>
      <c r="K236" s="1" t="n">
        <v>3600</v>
      </c>
      <c r="X236" s="1" t="n">
        <v>3600</v>
      </c>
      <c r="Y236" s="1" t="n">
        <f aca="false">324+324</f>
        <v>648</v>
      </c>
      <c r="Z236" s="11" t="n">
        <f aca="false">X236+Y236</f>
        <v>4248</v>
      </c>
      <c r="AA236" s="1" t="n">
        <v>277</v>
      </c>
    </row>
    <row r="237" customFormat="false" ht="13.8" hidden="false" customHeight="false" outlineLevel="0" collapsed="false">
      <c r="B237" s="2" t="s">
        <v>64</v>
      </c>
      <c r="C237" s="3" t="n">
        <v>0.959027777777778</v>
      </c>
      <c r="D237" s="4" t="n">
        <v>44531</v>
      </c>
      <c r="E237" s="1" t="s">
        <v>27</v>
      </c>
      <c r="F237" s="1" t="n">
        <v>6007</v>
      </c>
      <c r="G237" s="1" t="n">
        <v>8</v>
      </c>
      <c r="H237" s="1" t="n">
        <v>8</v>
      </c>
      <c r="J237" s="1" t="n">
        <v>9600</v>
      </c>
      <c r="K237" s="1" t="n">
        <v>4800</v>
      </c>
      <c r="X237" s="1" t="n">
        <v>4800</v>
      </c>
      <c r="Y237" s="1" t="n">
        <f aca="false">432+432</f>
        <v>864</v>
      </c>
      <c r="Z237" s="1" t="n">
        <f aca="false">X237+Y237</f>
        <v>5664</v>
      </c>
      <c r="AA237" s="1" t="n">
        <v>277</v>
      </c>
    </row>
    <row r="238" customFormat="false" ht="14.9" hidden="false" customHeight="false" outlineLevel="0" collapsed="false">
      <c r="B238" s="25" t="s">
        <v>65</v>
      </c>
      <c r="C238" s="3" t="n">
        <v>0.356944444444444</v>
      </c>
      <c r="D238" s="4" t="n">
        <v>44474</v>
      </c>
      <c r="E238" s="1" t="s">
        <v>30</v>
      </c>
      <c r="F238" s="1" t="n">
        <v>3846</v>
      </c>
      <c r="G238" s="1" t="n">
        <v>1</v>
      </c>
      <c r="H238" s="1" t="n">
        <v>1</v>
      </c>
      <c r="J238" s="12" t="n">
        <v>5000</v>
      </c>
      <c r="K238" s="12" t="n">
        <v>2500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 t="n">
        <v>2500</v>
      </c>
      <c r="Y238" s="12" t="n">
        <v>500</v>
      </c>
      <c r="Z238" s="11" t="n">
        <f aca="false">X238+Y238</f>
        <v>3000</v>
      </c>
      <c r="AA238" s="13" t="s">
        <v>31</v>
      </c>
    </row>
    <row r="239" customFormat="false" ht="13.8" hidden="false" customHeight="false" outlineLevel="0" collapsed="false">
      <c r="B239" s="2" t="s">
        <v>66</v>
      </c>
      <c r="C239" s="3" t="n">
        <v>0.934027777777778</v>
      </c>
      <c r="D239" s="4" t="n">
        <v>44534</v>
      </c>
      <c r="E239" s="1" t="s">
        <v>27</v>
      </c>
      <c r="F239" s="1" t="n">
        <v>6125</v>
      </c>
      <c r="G239" s="1" t="n">
        <v>5</v>
      </c>
      <c r="H239" s="1" t="n">
        <v>5</v>
      </c>
      <c r="J239" s="1" t="n">
        <v>6000</v>
      </c>
      <c r="K239" s="1" t="n">
        <v>3000</v>
      </c>
      <c r="X239" s="1" t="n">
        <v>3000</v>
      </c>
      <c r="Y239" s="1" t="n">
        <v>540</v>
      </c>
      <c r="Z239" s="1" t="n">
        <f aca="false">X239+Y239</f>
        <v>3540</v>
      </c>
      <c r="AA239" s="1" t="n">
        <v>277</v>
      </c>
    </row>
    <row r="240" customFormat="false" ht="13.8" hidden="false" customHeight="false" outlineLevel="0" collapsed="false">
      <c r="B240" s="2" t="s">
        <v>67</v>
      </c>
      <c r="C240" s="3" t="n">
        <v>0.852777777777778</v>
      </c>
      <c r="D240" s="4" t="n">
        <v>44531</v>
      </c>
      <c r="E240" s="1" t="s">
        <v>30</v>
      </c>
      <c r="F240" s="1" t="n">
        <v>3473</v>
      </c>
      <c r="G240" s="1" t="n">
        <v>1</v>
      </c>
      <c r="H240" s="1" t="n">
        <v>1</v>
      </c>
      <c r="P240" s="1" t="n">
        <v>450</v>
      </c>
      <c r="Q240" s="1" t="n">
        <v>90</v>
      </c>
      <c r="X240" s="1" t="n">
        <v>360</v>
      </c>
      <c r="Y240" s="1" t="n">
        <v>72</v>
      </c>
      <c r="Z240" s="1" t="n">
        <f aca="false">X240+Y240</f>
        <v>432</v>
      </c>
      <c r="AA240" s="1" t="n">
        <v>277</v>
      </c>
    </row>
    <row r="241" customFormat="false" ht="13.8" hidden="false" customHeight="false" outlineLevel="0" collapsed="false">
      <c r="B241" s="2" t="s">
        <v>68</v>
      </c>
      <c r="C241" s="3" t="n">
        <v>0.598611111111111</v>
      </c>
      <c r="D241" s="4" t="n">
        <v>44502</v>
      </c>
      <c r="E241" s="1" t="s">
        <v>27</v>
      </c>
      <c r="F241" s="1" t="n">
        <v>6909</v>
      </c>
      <c r="G241" s="1" t="n">
        <v>6</v>
      </c>
      <c r="H241" s="1" t="n">
        <v>6</v>
      </c>
      <c r="J241" s="1" t="n">
        <v>6000</v>
      </c>
      <c r="K241" s="1" t="n">
        <v>3000</v>
      </c>
      <c r="X241" s="1" t="n">
        <v>3000</v>
      </c>
      <c r="Y241" s="1" t="n">
        <v>540</v>
      </c>
      <c r="Z241" s="11" t="n">
        <f aca="false">X241+Y241</f>
        <v>3540</v>
      </c>
      <c r="AA241" s="1" t="n">
        <v>330</v>
      </c>
    </row>
    <row r="242" customFormat="false" ht="13.8" hidden="false" customHeight="false" outlineLevel="0" collapsed="false">
      <c r="B242" s="2" t="s">
        <v>69</v>
      </c>
      <c r="C242" s="3" t="n">
        <v>0.441666666666667</v>
      </c>
      <c r="D242" s="4" t="n">
        <v>44527</v>
      </c>
      <c r="E242" s="1" t="s">
        <v>27</v>
      </c>
      <c r="F242" s="1" t="n">
        <v>6799</v>
      </c>
      <c r="G242" s="1" t="n">
        <v>4</v>
      </c>
      <c r="H242" s="1" t="n">
        <v>4</v>
      </c>
      <c r="J242" s="1" t="n">
        <v>2793</v>
      </c>
      <c r="K242" s="1" t="n">
        <v>1398</v>
      </c>
      <c r="X242" s="1" t="n">
        <v>1398</v>
      </c>
      <c r="Y242" s="1" t="n">
        <f aca="false">125.82+125.82</f>
        <v>251.64</v>
      </c>
      <c r="Z242" s="11" t="n">
        <f aca="false">X242+Y242</f>
        <v>1649.64</v>
      </c>
      <c r="AA242" s="1" t="n">
        <v>277</v>
      </c>
    </row>
    <row r="243" customFormat="false" ht="13.8" hidden="false" customHeight="false" outlineLevel="0" collapsed="false">
      <c r="B243" s="2" t="s">
        <v>70</v>
      </c>
      <c r="C243" s="3" t="n">
        <v>0.931944444444444</v>
      </c>
      <c r="D243" s="4" t="n">
        <v>44527</v>
      </c>
      <c r="E243" s="1" t="s">
        <v>27</v>
      </c>
      <c r="F243" s="1" t="n">
        <v>6840</v>
      </c>
      <c r="G243" s="1" t="n">
        <v>4</v>
      </c>
      <c r="H243" s="1" t="n">
        <v>4</v>
      </c>
      <c r="J243" s="1" t="n">
        <v>4800</v>
      </c>
      <c r="K243" s="1" t="n">
        <v>2400</v>
      </c>
      <c r="X243" s="1" t="n">
        <v>2400</v>
      </c>
      <c r="Y243" s="1" t="n">
        <v>432</v>
      </c>
      <c r="Z243" s="11" t="n">
        <f aca="false">X243+Y243</f>
        <v>2832</v>
      </c>
      <c r="AA243" s="1" t="n">
        <v>366</v>
      </c>
    </row>
    <row r="244" customFormat="false" ht="14.9" hidden="false" customHeight="false" outlineLevel="0" collapsed="false">
      <c r="B244" s="25" t="s">
        <v>71</v>
      </c>
      <c r="C244" s="3" t="n">
        <v>0.352777777777778</v>
      </c>
      <c r="D244" s="4" t="n">
        <v>44441</v>
      </c>
      <c r="E244" s="1" t="s">
        <v>27</v>
      </c>
      <c r="F244" s="1" t="n">
        <v>6375</v>
      </c>
      <c r="G244" s="1" t="n">
        <v>6</v>
      </c>
      <c r="H244" s="1" t="n">
        <v>6</v>
      </c>
      <c r="J244" s="12" t="n">
        <v>6800</v>
      </c>
      <c r="K244" s="12" t="n">
        <v>3400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 t="n">
        <v>3400</v>
      </c>
      <c r="Y244" s="12" t="n">
        <f aca="false">306+306</f>
        <v>612</v>
      </c>
      <c r="Z244" s="11" t="n">
        <f aca="false">X244+Y244</f>
        <v>4012</v>
      </c>
      <c r="AA244" s="13" t="s">
        <v>29</v>
      </c>
    </row>
    <row r="245" customFormat="false" ht="13.8" hidden="false" customHeight="false" outlineLevel="0" collapsed="false">
      <c r="B245" s="2" t="s">
        <v>72</v>
      </c>
      <c r="C245" s="3" t="n">
        <v>0.0854166666666667</v>
      </c>
      <c r="D245" s="4" t="n">
        <v>44440</v>
      </c>
      <c r="E245" s="1" t="s">
        <v>27</v>
      </c>
      <c r="F245" s="1" t="n">
        <v>6301</v>
      </c>
      <c r="G245" s="1" t="n">
        <v>4</v>
      </c>
      <c r="H245" s="1" t="n">
        <v>4</v>
      </c>
      <c r="J245" s="12" t="n">
        <v>4000</v>
      </c>
      <c r="K245" s="12" t="n">
        <v>2000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 t="n">
        <v>2000</v>
      </c>
      <c r="Y245" s="12" t="n">
        <v>360</v>
      </c>
      <c r="Z245" s="11" t="n">
        <f aca="false">X245+Y245</f>
        <v>2360</v>
      </c>
      <c r="AA245" s="13" t="s">
        <v>33</v>
      </c>
    </row>
    <row r="246" customFormat="false" ht="13.8" hidden="false" customHeight="false" outlineLevel="0" collapsed="false">
      <c r="B246" s="2" t="s">
        <v>73</v>
      </c>
      <c r="C246" s="3" t="n">
        <v>0.866666666666667</v>
      </c>
      <c r="D246" s="4" t="n">
        <v>44491</v>
      </c>
      <c r="E246" s="1" t="s">
        <v>27</v>
      </c>
      <c r="F246" s="1" t="n">
        <v>6437</v>
      </c>
      <c r="G246" s="1" t="n">
        <v>8</v>
      </c>
      <c r="H246" s="1" t="n">
        <v>8</v>
      </c>
      <c r="J246" s="1" t="n">
        <v>10000</v>
      </c>
      <c r="K246" s="1" t="n">
        <v>5400</v>
      </c>
      <c r="X246" s="1" t="n">
        <v>5400</v>
      </c>
      <c r="Y246" s="1" t="n">
        <f aca="false">486+486</f>
        <v>972</v>
      </c>
      <c r="Z246" s="11" t="n">
        <f aca="false">X246+Y246</f>
        <v>6372</v>
      </c>
      <c r="AA246" s="1" t="n">
        <v>340</v>
      </c>
    </row>
    <row r="247" customFormat="false" ht="14.9" hidden="false" customHeight="false" outlineLevel="0" collapsed="false">
      <c r="B247" s="25" t="s">
        <v>74</v>
      </c>
      <c r="C247" s="3" t="n">
        <v>0.365972222222222</v>
      </c>
      <c r="D247" s="4" t="n">
        <v>44475</v>
      </c>
      <c r="E247" s="1" t="s">
        <v>27</v>
      </c>
      <c r="F247" s="1" t="n">
        <v>6732</v>
      </c>
      <c r="G247" s="1" t="n">
        <v>2</v>
      </c>
      <c r="H247" s="1" t="n">
        <v>2</v>
      </c>
      <c r="J247" s="12" t="n">
        <v>2500</v>
      </c>
      <c r="K247" s="12" t="n">
        <v>1250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 t="n">
        <v>1250</v>
      </c>
      <c r="Y247" s="12" t="n">
        <v>225</v>
      </c>
      <c r="Z247" s="11" t="n">
        <f aca="false">X247+Y247</f>
        <v>1475</v>
      </c>
      <c r="AA247" s="13" t="s">
        <v>31</v>
      </c>
    </row>
    <row r="248" customFormat="false" ht="13.8" hidden="false" customHeight="false" outlineLevel="0" collapsed="false">
      <c r="B248" s="2" t="s">
        <v>75</v>
      </c>
      <c r="C248" s="3" t="n">
        <v>0.0840277777777778</v>
      </c>
      <c r="D248" s="4" t="n">
        <v>44449</v>
      </c>
      <c r="E248" s="1" t="s">
        <v>27</v>
      </c>
      <c r="F248" s="1" t="n">
        <v>6717</v>
      </c>
      <c r="G248" s="1" t="n">
        <v>3</v>
      </c>
      <c r="H248" s="1" t="n">
        <v>3</v>
      </c>
      <c r="J248" s="12" t="n">
        <v>3000</v>
      </c>
      <c r="K248" s="12" t="n">
        <v>1500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 t="n">
        <v>1500</v>
      </c>
      <c r="Y248" s="12" t="n">
        <f aca="false">135+135</f>
        <v>270</v>
      </c>
      <c r="Z248" s="11" t="n">
        <f aca="false">X248+Y248</f>
        <v>1770</v>
      </c>
      <c r="AA248" s="13" t="s">
        <v>31</v>
      </c>
    </row>
    <row r="249" customFormat="false" ht="13.8" hidden="false" customHeight="false" outlineLevel="0" collapsed="false">
      <c r="B249" s="2" t="s">
        <v>76</v>
      </c>
      <c r="C249" s="3" t="n">
        <v>0.408333333333333</v>
      </c>
      <c r="D249" s="4" t="n">
        <v>44449</v>
      </c>
      <c r="E249" s="1" t="s">
        <v>27</v>
      </c>
      <c r="F249" s="1" t="n">
        <v>6730</v>
      </c>
      <c r="G249" s="1" t="n">
        <v>3</v>
      </c>
      <c r="H249" s="1" t="n">
        <v>3</v>
      </c>
      <c r="J249" s="12" t="n">
        <v>3600</v>
      </c>
      <c r="K249" s="12" t="n">
        <v>1800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 t="n">
        <v>1800</v>
      </c>
      <c r="Y249" s="12" t="n">
        <f aca="false">162+162</f>
        <v>324</v>
      </c>
      <c r="Z249" s="11" t="n">
        <f aca="false">X249+Y249</f>
        <v>2124</v>
      </c>
      <c r="AA249" s="13" t="s">
        <v>29</v>
      </c>
    </row>
    <row r="250" customFormat="false" ht="13.8" hidden="false" customHeight="false" outlineLevel="0" collapsed="false">
      <c r="B250" s="2" t="s">
        <v>77</v>
      </c>
      <c r="C250" s="3" t="n">
        <v>0.429861111111111</v>
      </c>
      <c r="D250" s="4" t="n">
        <v>44405</v>
      </c>
      <c r="E250" s="1" t="s">
        <v>27</v>
      </c>
      <c r="F250" s="1" t="n">
        <v>6170</v>
      </c>
      <c r="G250" s="1" t="n">
        <v>3</v>
      </c>
      <c r="H250" s="1" t="n">
        <v>3</v>
      </c>
      <c r="J250" s="12" t="n">
        <v>2300</v>
      </c>
      <c r="K250" s="12" t="n">
        <v>1150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1"/>
      <c r="X250" s="11" t="n">
        <v>1150</v>
      </c>
      <c r="Y250" s="11" t="n">
        <v>207</v>
      </c>
      <c r="Z250" s="11" t="n">
        <f aca="false">X250+Y250</f>
        <v>1357</v>
      </c>
      <c r="AA250" s="11" t="n">
        <v>758</v>
      </c>
    </row>
    <row r="251" customFormat="false" ht="13.8" hidden="false" customHeight="false" outlineLevel="0" collapsed="false">
      <c r="B251" s="2" t="s">
        <v>78</v>
      </c>
      <c r="C251" s="3" t="n">
        <v>0.861111111111111</v>
      </c>
      <c r="D251" s="4" t="n">
        <v>44609</v>
      </c>
      <c r="E251" s="1" t="s">
        <v>27</v>
      </c>
      <c r="F251" s="1" t="n">
        <v>6126</v>
      </c>
      <c r="G251" s="1" t="n">
        <v>4</v>
      </c>
      <c r="H251" s="1" t="n">
        <v>4</v>
      </c>
      <c r="J251" s="1" t="n">
        <v>5600</v>
      </c>
      <c r="K251" s="1" t="n">
        <v>2800</v>
      </c>
      <c r="X251" s="1" t="n">
        <v>2916.94</v>
      </c>
      <c r="Y251" s="1" t="n">
        <f aca="false">262.52+262.52</f>
        <v>525.04</v>
      </c>
      <c r="Z251" s="1" t="n">
        <f aca="false">X251+Y251</f>
        <v>3441.98</v>
      </c>
      <c r="AA251" s="1" t="n">
        <v>371</v>
      </c>
    </row>
    <row r="252" customFormat="false" ht="13.8" hidden="false" customHeight="false" outlineLevel="0" collapsed="false">
      <c r="B252" s="2" t="s">
        <v>79</v>
      </c>
      <c r="C252" s="3" t="n">
        <v>0.919444444444444</v>
      </c>
      <c r="D252" s="4" t="n">
        <v>44551</v>
      </c>
      <c r="E252" s="1" t="s">
        <v>27</v>
      </c>
      <c r="F252" s="1" t="n">
        <v>6781</v>
      </c>
      <c r="G252" s="1" t="n">
        <v>8</v>
      </c>
      <c r="H252" s="1" t="n">
        <v>8</v>
      </c>
      <c r="J252" s="1" t="n">
        <v>12000</v>
      </c>
      <c r="K252" s="1" t="n">
        <v>6000</v>
      </c>
      <c r="X252" s="1" t="n">
        <v>6525</v>
      </c>
      <c r="Y252" s="1" t="n">
        <f aca="false">587+587.5</f>
        <v>1174.5</v>
      </c>
      <c r="Z252" s="1" t="n">
        <f aca="false">X252+Y252</f>
        <v>7699.5</v>
      </c>
      <c r="AA252" s="1" t="n">
        <v>277</v>
      </c>
    </row>
    <row r="253" customFormat="false" ht="13.8" hidden="false" customHeight="false" outlineLevel="0" collapsed="false">
      <c r="B253" s="2" t="s">
        <v>80</v>
      </c>
      <c r="C253" s="3" t="n">
        <v>0.826388888888889</v>
      </c>
      <c r="D253" s="4" t="n">
        <v>44525</v>
      </c>
      <c r="E253" s="1" t="s">
        <v>27</v>
      </c>
      <c r="F253" s="1" t="n">
        <v>6723</v>
      </c>
      <c r="G253" s="1" t="n">
        <v>6</v>
      </c>
      <c r="H253" s="1" t="n">
        <v>6</v>
      </c>
      <c r="J253" s="1" t="n">
        <v>7200</v>
      </c>
      <c r="K253" s="1" t="n">
        <v>3600</v>
      </c>
      <c r="X253" s="1" t="n">
        <v>3600</v>
      </c>
      <c r="Y253" s="1" t="n">
        <f aca="false">324+324</f>
        <v>648</v>
      </c>
      <c r="Z253" s="11" t="n">
        <f aca="false">X253+Y253</f>
        <v>4248</v>
      </c>
      <c r="AA253" s="1" t="n">
        <v>277</v>
      </c>
    </row>
    <row r="254" customFormat="false" ht="13.8" hidden="false" customHeight="false" outlineLevel="0" collapsed="false">
      <c r="B254" s="2" t="s">
        <v>81</v>
      </c>
      <c r="C254" s="3" t="n">
        <v>0.895833333333333</v>
      </c>
      <c r="D254" s="4" t="n">
        <v>44507</v>
      </c>
      <c r="E254" s="1" t="s">
        <v>27</v>
      </c>
      <c r="F254" s="1" t="n">
        <v>6106</v>
      </c>
      <c r="G254" s="1" t="n">
        <v>5</v>
      </c>
      <c r="H254" s="1" t="n">
        <v>5</v>
      </c>
      <c r="J254" s="1" t="n">
        <v>6000</v>
      </c>
      <c r="K254" s="1" t="n">
        <v>3000</v>
      </c>
      <c r="X254" s="1" t="n">
        <v>3000</v>
      </c>
      <c r="Y254" s="1" t="n">
        <v>540</v>
      </c>
      <c r="Z254" s="11" t="n">
        <f aca="false">X254+Y254</f>
        <v>3540</v>
      </c>
      <c r="AA254" s="1" t="n">
        <v>277</v>
      </c>
    </row>
    <row r="255" customFormat="false" ht="13.8" hidden="false" customHeight="false" outlineLevel="0" collapsed="false">
      <c r="B255" s="2" t="s">
        <v>82</v>
      </c>
      <c r="C255" s="3" t="n">
        <v>0.345138888888889</v>
      </c>
      <c r="D255" s="4" t="n">
        <v>44432</v>
      </c>
      <c r="E255" s="1" t="s">
        <v>27</v>
      </c>
      <c r="F255" s="1" t="n">
        <v>6010</v>
      </c>
      <c r="G255" s="1" t="n">
        <v>8</v>
      </c>
      <c r="H255" s="1" t="n">
        <v>8</v>
      </c>
      <c r="J255" s="12" t="n">
        <f aca="false">K255*2</f>
        <v>9965</v>
      </c>
      <c r="K255" s="12" t="n">
        <v>4982.5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 t="n">
        <v>7432.5</v>
      </c>
      <c r="Y255" s="12" t="n">
        <f aca="false">668.93+668.93</f>
        <v>1337.86</v>
      </c>
      <c r="Z255" s="11" t="n">
        <f aca="false">X255+Y255</f>
        <v>8770.36</v>
      </c>
      <c r="AA255" s="13" t="s">
        <v>83</v>
      </c>
    </row>
    <row r="256" customFormat="false" ht="13.8" hidden="false" customHeight="false" outlineLevel="0" collapsed="false">
      <c r="B256" s="2" t="s">
        <v>84</v>
      </c>
      <c r="C256" s="3" t="n">
        <v>0.902083333333333</v>
      </c>
      <c r="D256" s="4" t="n">
        <v>44533</v>
      </c>
      <c r="E256" s="1" t="s">
        <v>27</v>
      </c>
      <c r="F256" s="1" t="n">
        <v>6073</v>
      </c>
      <c r="G256" s="1" t="n">
        <v>4</v>
      </c>
      <c r="H256" s="1" t="n">
        <v>4</v>
      </c>
      <c r="J256" s="1" t="n">
        <v>4800</v>
      </c>
      <c r="K256" s="1" t="n">
        <v>2400</v>
      </c>
      <c r="X256" s="1" t="n">
        <v>2400</v>
      </c>
      <c r="Y256" s="1" t="n">
        <v>432</v>
      </c>
      <c r="Z256" s="1" t="n">
        <f aca="false">X256+Y256</f>
        <v>2832</v>
      </c>
      <c r="AA256" s="1" t="n">
        <v>277</v>
      </c>
    </row>
    <row r="257" customFormat="false" ht="13.8" hidden="false" customHeight="false" outlineLevel="0" collapsed="false">
      <c r="B257" s="2" t="s">
        <v>85</v>
      </c>
      <c r="C257" s="3" t="n">
        <v>0.924305555555556</v>
      </c>
      <c r="D257" s="4" t="n">
        <v>44501</v>
      </c>
      <c r="E257" s="1" t="s">
        <v>27</v>
      </c>
      <c r="F257" s="1" t="n">
        <v>6892</v>
      </c>
      <c r="G257" s="1" t="n">
        <v>7</v>
      </c>
      <c r="H257" s="1" t="n">
        <v>7</v>
      </c>
      <c r="J257" s="1" t="n">
        <v>8400</v>
      </c>
      <c r="K257" s="1" t="n">
        <v>4200</v>
      </c>
      <c r="X257" s="1" t="n">
        <v>4200</v>
      </c>
      <c r="Y257" s="1" t="n">
        <f aca="false">378+378</f>
        <v>756</v>
      </c>
      <c r="Z257" s="11" t="n">
        <f aca="false">X257+Y257</f>
        <v>4956</v>
      </c>
      <c r="AA257" s="1" t="n">
        <v>363</v>
      </c>
    </row>
    <row r="258" customFormat="false" ht="13.8" hidden="false" customHeight="false" outlineLevel="0" collapsed="false">
      <c r="B258" s="2" t="s">
        <v>86</v>
      </c>
      <c r="C258" s="3" t="n">
        <v>0.838194444444444</v>
      </c>
      <c r="D258" s="4" t="n">
        <v>44563</v>
      </c>
      <c r="E258" s="1" t="s">
        <v>27</v>
      </c>
      <c r="F258" s="1" t="n">
        <v>6301</v>
      </c>
      <c r="G258" s="1" t="n">
        <v>5</v>
      </c>
      <c r="H258" s="1" t="n">
        <v>5</v>
      </c>
      <c r="J258" s="1" t="n">
        <v>3600</v>
      </c>
      <c r="K258" s="1" t="n">
        <v>1800</v>
      </c>
      <c r="L258" s="1" t="n">
        <v>350</v>
      </c>
      <c r="M258" s="1" t="n">
        <v>70</v>
      </c>
      <c r="X258" s="1" t="n">
        <v>1870</v>
      </c>
      <c r="Y258" s="1" t="n">
        <f aca="false">187.2+187.2</f>
        <v>374.4</v>
      </c>
      <c r="Z258" s="1" t="n">
        <f aca="false">X258+Y258</f>
        <v>2244.4</v>
      </c>
      <c r="AA258" s="1" t="n">
        <v>371</v>
      </c>
    </row>
    <row r="259" customFormat="false" ht="13.8" hidden="false" customHeight="false" outlineLevel="0" collapsed="false">
      <c r="B259" s="2" t="s">
        <v>87</v>
      </c>
      <c r="C259" s="3" t="n">
        <v>0.936111111111111</v>
      </c>
      <c r="D259" s="4" t="n">
        <v>44501</v>
      </c>
      <c r="E259" s="1" t="s">
        <v>30</v>
      </c>
      <c r="F259" s="1" t="n">
        <v>3159</v>
      </c>
      <c r="G259" s="1" t="n">
        <v>2</v>
      </c>
      <c r="H259" s="1" t="n">
        <v>2</v>
      </c>
      <c r="P259" s="1" t="n">
        <v>1450</v>
      </c>
      <c r="Q259" s="1" t="n">
        <v>290</v>
      </c>
      <c r="X259" s="1" t="n">
        <v>1160</v>
      </c>
      <c r="Y259" s="1" t="n">
        <v>232</v>
      </c>
      <c r="Z259" s="11" t="n">
        <f aca="false">X259+Y259</f>
        <v>1392</v>
      </c>
      <c r="AA259" s="1" t="n">
        <v>277</v>
      </c>
    </row>
    <row r="260" customFormat="false" ht="13.8" hidden="false" customHeight="false" outlineLevel="0" collapsed="false">
      <c r="B260" s="2" t="s">
        <v>87</v>
      </c>
      <c r="C260" s="3" t="n">
        <v>0.845833333333333</v>
      </c>
      <c r="D260" s="4" t="n">
        <v>44501</v>
      </c>
      <c r="E260" s="1" t="s">
        <v>30</v>
      </c>
      <c r="F260" s="1" t="n">
        <v>3156</v>
      </c>
      <c r="G260" s="1" t="n">
        <v>1</v>
      </c>
      <c r="H260" s="1" t="n">
        <v>1</v>
      </c>
      <c r="P260" s="1" t="n">
        <v>4250</v>
      </c>
      <c r="Q260" s="1" t="n">
        <v>650</v>
      </c>
      <c r="X260" s="1" t="n">
        <v>3700</v>
      </c>
      <c r="Y260" s="1" t="n">
        <v>740</v>
      </c>
      <c r="Z260" s="11" t="n">
        <f aca="false">X260+Y260</f>
        <v>4440</v>
      </c>
      <c r="AA260" s="1" t="n">
        <v>363</v>
      </c>
    </row>
    <row r="261" customFormat="false" ht="13.8" hidden="false" customHeight="false" outlineLevel="0" collapsed="false">
      <c r="B261" s="2" t="s">
        <v>88</v>
      </c>
      <c r="C261" s="3" t="n">
        <v>0.352777777777778</v>
      </c>
      <c r="D261" s="4" t="n">
        <v>44481</v>
      </c>
      <c r="E261" s="1" t="s">
        <v>27</v>
      </c>
      <c r="F261" s="1" t="n">
        <v>6970</v>
      </c>
      <c r="G261" s="1" t="n">
        <v>10</v>
      </c>
      <c r="H261" s="1" t="n">
        <v>10</v>
      </c>
      <c r="J261" s="12" t="n">
        <v>6990</v>
      </c>
      <c r="K261" s="12" t="n">
        <v>3495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 t="n">
        <v>3495</v>
      </c>
      <c r="Y261" s="12" t="n">
        <f aca="false">314.55+314.55</f>
        <v>629.1</v>
      </c>
      <c r="Z261" s="11" t="n">
        <f aca="false">X261+Y261</f>
        <v>4124.1</v>
      </c>
      <c r="AA261" s="13" t="s">
        <v>31</v>
      </c>
    </row>
    <row r="262" customFormat="false" ht="13.8" hidden="false" customHeight="false" outlineLevel="0" collapsed="false">
      <c r="B262" s="2" t="s">
        <v>89</v>
      </c>
      <c r="C262" s="3" t="n">
        <v>0.531944444444445</v>
      </c>
      <c r="D262" s="4" t="n">
        <v>44525</v>
      </c>
      <c r="E262" s="1" t="s">
        <v>27</v>
      </c>
      <c r="F262" s="1" t="n">
        <v>6706</v>
      </c>
      <c r="G262" s="1" t="n">
        <v>6</v>
      </c>
      <c r="H262" s="1" t="n">
        <v>6</v>
      </c>
      <c r="J262" s="1" t="n">
        <v>4194</v>
      </c>
      <c r="K262" s="1" t="n">
        <v>2097</v>
      </c>
      <c r="X262" s="1" t="n">
        <v>2097</v>
      </c>
      <c r="Y262" s="1" t="n">
        <f aca="false">188.73+188.73</f>
        <v>377.46</v>
      </c>
      <c r="Z262" s="11" t="n">
        <f aca="false">X262+Y262</f>
        <v>2474.46</v>
      </c>
      <c r="AA262" s="1" t="n">
        <v>277</v>
      </c>
    </row>
    <row r="263" customFormat="false" ht="13.8" hidden="false" customHeight="false" outlineLevel="0" collapsed="false">
      <c r="B263" s="2" t="s">
        <v>90</v>
      </c>
      <c r="C263" s="3" t="n">
        <v>0.463194444444444</v>
      </c>
      <c r="D263" s="4" t="n">
        <v>44608</v>
      </c>
      <c r="E263" s="1" t="s">
        <v>27</v>
      </c>
      <c r="F263" s="1" t="n">
        <v>6069</v>
      </c>
      <c r="G263" s="1" t="n">
        <v>5</v>
      </c>
      <c r="H263" s="1" t="n">
        <v>5</v>
      </c>
      <c r="J263" s="1" t="n">
        <v>4975</v>
      </c>
      <c r="K263" s="1" t="n">
        <v>2487.5</v>
      </c>
      <c r="X263" s="1" t="n">
        <v>2487.5</v>
      </c>
      <c r="Y263" s="1" t="n">
        <f aca="false">223.88+233.88</f>
        <v>457.76</v>
      </c>
      <c r="Z263" s="1" t="n">
        <f aca="false">X263+Y263</f>
        <v>2945.26</v>
      </c>
      <c r="AA263" s="1" t="n">
        <v>363</v>
      </c>
    </row>
    <row r="264" customFormat="false" ht="13.8" hidden="false" customHeight="false" outlineLevel="0" collapsed="false">
      <c r="B264" s="2" t="s">
        <v>91</v>
      </c>
      <c r="C264" s="3" t="n">
        <v>0.85625</v>
      </c>
      <c r="D264" s="4" t="n">
        <v>44608</v>
      </c>
      <c r="E264" s="1" t="s">
        <v>27</v>
      </c>
      <c r="F264" s="1" t="n">
        <v>6092</v>
      </c>
      <c r="G264" s="1" t="n">
        <v>8</v>
      </c>
      <c r="H264" s="1" t="n">
        <v>8</v>
      </c>
      <c r="J264" s="1" t="n">
        <f aca="false">K264*2</f>
        <v>12650</v>
      </c>
      <c r="K264" s="1" t="n">
        <v>6325</v>
      </c>
      <c r="X264" s="1" t="n">
        <v>7876</v>
      </c>
      <c r="Y264" s="1" t="n">
        <f aca="false">600.75+600.75</f>
        <v>1201.5</v>
      </c>
      <c r="Z264" s="1" t="n">
        <f aca="false">X264+Y264</f>
        <v>9077.5</v>
      </c>
      <c r="AA264" s="1" t="n">
        <v>362</v>
      </c>
    </row>
    <row r="265" customFormat="false" ht="13.8" hidden="false" customHeight="false" outlineLevel="0" collapsed="false">
      <c r="B265" s="2" t="s">
        <v>92</v>
      </c>
      <c r="C265" s="3" t="n">
        <v>0.430555555555556</v>
      </c>
      <c r="D265" s="4" t="n">
        <v>44439</v>
      </c>
      <c r="E265" s="1" t="s">
        <v>27</v>
      </c>
      <c r="F265" s="1" t="n">
        <v>6248</v>
      </c>
      <c r="G265" s="1" t="n">
        <v>2</v>
      </c>
      <c r="H265" s="1" t="n">
        <v>2</v>
      </c>
      <c r="J265" s="12" t="n">
        <v>1398</v>
      </c>
      <c r="K265" s="12" t="n">
        <v>699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 t="n">
        <v>699</v>
      </c>
      <c r="Y265" s="12" t="n">
        <f aca="false">62.91+62.91</f>
        <v>125.82</v>
      </c>
      <c r="Z265" s="11" t="n">
        <f aca="false">X265+Y265</f>
        <v>824.82</v>
      </c>
      <c r="AA265" s="13" t="s">
        <v>31</v>
      </c>
    </row>
    <row r="266" customFormat="false" ht="13.8" hidden="false" customHeight="false" outlineLevel="0" collapsed="false">
      <c r="B266" s="2" t="s">
        <v>93</v>
      </c>
      <c r="C266" s="3" t="n">
        <v>0.640972222222222</v>
      </c>
      <c r="D266" s="4" t="n">
        <v>44568</v>
      </c>
      <c r="E266" s="1" t="s">
        <v>27</v>
      </c>
      <c r="F266" s="1" t="n">
        <v>6422</v>
      </c>
      <c r="G266" s="1" t="n">
        <v>10</v>
      </c>
      <c r="H266" s="1" t="n">
        <v>10</v>
      </c>
      <c r="J266" s="1" t="n">
        <v>9990</v>
      </c>
      <c r="K266" s="1" t="n">
        <v>4995</v>
      </c>
      <c r="X266" s="1" t="n">
        <v>5287</v>
      </c>
      <c r="Y266" s="1" t="n">
        <f aca="false">475.86+475.86</f>
        <v>951.72</v>
      </c>
      <c r="Z266" s="1" t="n">
        <f aca="false">X266+Y266</f>
        <v>6238.72</v>
      </c>
      <c r="AA266" s="1" t="n">
        <v>371</v>
      </c>
    </row>
    <row r="267" customFormat="false" ht="14.9" hidden="false" customHeight="false" outlineLevel="0" collapsed="false">
      <c r="B267" s="25" t="s">
        <v>94</v>
      </c>
      <c r="C267" s="3" t="n">
        <v>0.388888888888889</v>
      </c>
      <c r="D267" s="4" t="n">
        <v>44442</v>
      </c>
      <c r="E267" s="1" t="s">
        <v>27</v>
      </c>
      <c r="F267" s="1" t="n">
        <v>6433</v>
      </c>
      <c r="G267" s="1" t="n">
        <v>10</v>
      </c>
      <c r="H267" s="1" t="n">
        <v>10</v>
      </c>
      <c r="J267" s="12" t="n">
        <v>12000</v>
      </c>
      <c r="K267" s="12" t="n">
        <v>6000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 t="n">
        <v>6000</v>
      </c>
      <c r="Y267" s="12" t="n">
        <v>1080</v>
      </c>
      <c r="Z267" s="11" t="n">
        <f aca="false">X267+Y267</f>
        <v>7080</v>
      </c>
      <c r="AA267" s="13" t="s">
        <v>29</v>
      </c>
    </row>
    <row r="268" customFormat="false" ht="13.8" hidden="false" customHeight="false" outlineLevel="0" collapsed="false">
      <c r="B268" s="2" t="s">
        <v>95</v>
      </c>
      <c r="C268" s="3" t="n">
        <v>0.857638888888889</v>
      </c>
      <c r="D268" s="4" t="n">
        <v>44610</v>
      </c>
      <c r="E268" s="1" t="s">
        <v>27</v>
      </c>
      <c r="F268" s="1" t="n">
        <v>6162</v>
      </c>
      <c r="G268" s="1" t="n">
        <v>3</v>
      </c>
      <c r="H268" s="1" t="n">
        <v>3</v>
      </c>
      <c r="J268" s="1" t="n">
        <f aca="false">K268*2</f>
        <v>4708.48</v>
      </c>
      <c r="K268" s="1" t="n">
        <v>2354.24</v>
      </c>
      <c r="X268" s="1" t="n">
        <v>2354</v>
      </c>
      <c r="Y268" s="1" t="n">
        <f aca="false">211+211</f>
        <v>422</v>
      </c>
      <c r="Z268" s="1" t="n">
        <f aca="false">X268+Y268</f>
        <v>2776</v>
      </c>
      <c r="AA268" s="1" t="n">
        <v>371</v>
      </c>
    </row>
    <row r="269" customFormat="false" ht="13.8" hidden="false" customHeight="false" outlineLevel="0" collapsed="false">
      <c r="B269" s="2" t="s">
        <v>96</v>
      </c>
      <c r="C269" s="3" t="n">
        <v>0.601388888888889</v>
      </c>
      <c r="D269" s="4" t="n">
        <v>44500</v>
      </c>
      <c r="E269" s="1" t="s">
        <v>27</v>
      </c>
      <c r="F269" s="1" t="n">
        <v>6821</v>
      </c>
      <c r="G269" s="1" t="n">
        <v>3</v>
      </c>
      <c r="H269" s="1" t="n">
        <v>3</v>
      </c>
      <c r="J269" s="1" t="n">
        <v>4497</v>
      </c>
      <c r="K269" s="1" t="n">
        <v>2323.5</v>
      </c>
      <c r="X269" s="1" t="n">
        <v>2323.5</v>
      </c>
      <c r="Y269" s="1" t="n">
        <f aca="false">209.12+209.12</f>
        <v>418.24</v>
      </c>
      <c r="Z269" s="11" t="n">
        <f aca="false">X269+Y269</f>
        <v>2741.74</v>
      </c>
      <c r="AA269" s="1" t="n">
        <v>277</v>
      </c>
    </row>
    <row r="270" customFormat="false" ht="13.8" hidden="false" customHeight="false" outlineLevel="0" collapsed="false">
      <c r="B270" s="2" t="s">
        <v>97</v>
      </c>
      <c r="C270" s="3" t="n">
        <v>0.724305555555556</v>
      </c>
      <c r="D270" s="4" t="n">
        <v>44615</v>
      </c>
      <c r="E270" s="1" t="s">
        <v>27</v>
      </c>
      <c r="F270" s="1" t="n">
        <v>6348</v>
      </c>
      <c r="G270" s="1" t="n">
        <v>4</v>
      </c>
      <c r="H270" s="1" t="n">
        <v>4</v>
      </c>
      <c r="J270" s="1" t="n">
        <f aca="false">K270*2</f>
        <v>5650</v>
      </c>
      <c r="K270" s="1" t="n">
        <v>2825</v>
      </c>
      <c r="X270" s="1" t="n">
        <v>3000</v>
      </c>
      <c r="Y270" s="1" t="n">
        <v>540</v>
      </c>
      <c r="Z270" s="1" t="n">
        <f aca="false">X270+Y270</f>
        <v>3540</v>
      </c>
      <c r="AA270" s="1" t="n">
        <v>371</v>
      </c>
    </row>
    <row r="271" customFormat="false" ht="13.8" hidden="false" customHeight="false" outlineLevel="0" collapsed="false">
      <c r="B271" s="2" t="s">
        <v>98</v>
      </c>
      <c r="C271" s="3" t="n">
        <v>0.0979166666666667</v>
      </c>
      <c r="D271" s="4" t="n">
        <v>44421</v>
      </c>
      <c r="E271" s="1" t="s">
        <v>27</v>
      </c>
      <c r="F271" s="1" t="n">
        <v>6578</v>
      </c>
      <c r="G271" s="1" t="n">
        <v>7</v>
      </c>
      <c r="H271" s="1" t="n">
        <v>7</v>
      </c>
      <c r="J271" s="12" t="n">
        <v>6993</v>
      </c>
      <c r="K271" s="12" t="n">
        <v>3496</v>
      </c>
      <c r="L271" s="12" t="n">
        <v>875</v>
      </c>
      <c r="M271" s="12" t="n">
        <v>437.5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 t="n">
        <v>3934</v>
      </c>
      <c r="Y271" s="12" t="n">
        <f aca="false">354.06+354.06</f>
        <v>708.12</v>
      </c>
      <c r="Z271" s="11" t="n">
        <f aca="false">X271+Y271</f>
        <v>4642.12</v>
      </c>
      <c r="AA271" s="13" t="s">
        <v>34</v>
      </c>
    </row>
    <row r="272" customFormat="false" ht="13.8" hidden="false" customHeight="false" outlineLevel="0" collapsed="false">
      <c r="B272" s="2" t="s">
        <v>99</v>
      </c>
      <c r="C272" s="3" t="n">
        <v>0.854861111111111</v>
      </c>
      <c r="D272" s="4" t="n">
        <v>44605</v>
      </c>
      <c r="E272" s="1" t="s">
        <v>27</v>
      </c>
      <c r="F272" s="1" t="n">
        <v>6954</v>
      </c>
      <c r="G272" s="1" t="n">
        <v>2</v>
      </c>
      <c r="H272" s="1" t="n">
        <v>2</v>
      </c>
      <c r="J272" s="1" t="n">
        <v>9600</v>
      </c>
      <c r="K272" s="1" t="n">
        <v>4800</v>
      </c>
      <c r="X272" s="1" t="n">
        <v>4800</v>
      </c>
      <c r="Y272" s="1" t="n">
        <f aca="false">432+432</f>
        <v>864</v>
      </c>
      <c r="Z272" s="1" t="n">
        <f aca="false">X272+Y272</f>
        <v>5664</v>
      </c>
      <c r="AA272" s="1" t="n">
        <v>369</v>
      </c>
    </row>
    <row r="273" customFormat="false" ht="13.8" hidden="false" customHeight="false" outlineLevel="0" collapsed="false">
      <c r="B273" s="2" t="s">
        <v>100</v>
      </c>
      <c r="C273" s="3" t="n">
        <v>0.913888888888889</v>
      </c>
      <c r="D273" s="4" t="n">
        <v>44486</v>
      </c>
      <c r="E273" s="1" t="s">
        <v>27</v>
      </c>
      <c r="F273" s="1" t="n">
        <v>6244</v>
      </c>
      <c r="G273" s="1" t="n">
        <v>4</v>
      </c>
      <c r="H273" s="1" t="n">
        <v>4</v>
      </c>
      <c r="J273" s="1" t="n">
        <v>4800</v>
      </c>
      <c r="K273" s="1" t="n">
        <v>2400</v>
      </c>
      <c r="X273" s="1" t="n">
        <v>2400</v>
      </c>
      <c r="Y273" s="1" t="n">
        <v>432</v>
      </c>
      <c r="Z273" s="11" t="n">
        <f aca="false">X273+Y273</f>
        <v>2832</v>
      </c>
      <c r="AA273" s="1" t="n">
        <v>277</v>
      </c>
    </row>
    <row r="274" customFormat="false" ht="13.8" hidden="false" customHeight="false" outlineLevel="0" collapsed="false">
      <c r="B274" s="2" t="s">
        <v>101</v>
      </c>
      <c r="C274" s="3" t="n">
        <v>0.288888888888889</v>
      </c>
      <c r="D274" s="4" t="n">
        <v>44426</v>
      </c>
      <c r="E274" s="1" t="s">
        <v>27</v>
      </c>
      <c r="F274" s="1" t="n">
        <v>6763</v>
      </c>
      <c r="G274" s="1" t="n">
        <v>3</v>
      </c>
      <c r="H274" s="1" t="n">
        <v>3</v>
      </c>
      <c r="J274" s="12" t="n">
        <v>2425</v>
      </c>
      <c r="K274" s="12" t="n">
        <v>1212.5</v>
      </c>
      <c r="L274" s="12" t="n">
        <v>350</v>
      </c>
      <c r="M274" s="12" t="n">
        <v>175</v>
      </c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 t="n">
        <v>1387.5</v>
      </c>
      <c r="Y274" s="12" t="n">
        <f aca="false">124.88+124.88</f>
        <v>249.76</v>
      </c>
      <c r="Z274" s="11" t="n">
        <f aca="false">X274+Y274</f>
        <v>1637.26</v>
      </c>
      <c r="AA274" s="13" t="s">
        <v>33</v>
      </c>
    </row>
    <row r="275" customFormat="false" ht="13.8" hidden="false" customHeight="false" outlineLevel="0" collapsed="false">
      <c r="B275" s="2" t="s">
        <v>102</v>
      </c>
      <c r="C275" s="3" t="n">
        <v>0.888194444444444</v>
      </c>
      <c r="D275" s="4" t="n">
        <v>44524</v>
      </c>
      <c r="E275" s="1" t="s">
        <v>27</v>
      </c>
      <c r="F275" s="1" t="n">
        <v>6689</v>
      </c>
      <c r="G275" s="1" t="n">
        <v>10</v>
      </c>
      <c r="H275" s="1" t="n">
        <v>10</v>
      </c>
      <c r="J275" s="1" t="n">
        <v>12000</v>
      </c>
      <c r="K275" s="1" t="n">
        <v>6000</v>
      </c>
      <c r="X275" s="1" t="n">
        <v>6000</v>
      </c>
      <c r="Y275" s="1" t="n">
        <v>1080</v>
      </c>
      <c r="Z275" s="11" t="n">
        <f aca="false">X275+Y275</f>
        <v>7080</v>
      </c>
      <c r="AA275" s="1" t="n">
        <v>277</v>
      </c>
    </row>
    <row r="276" customFormat="false" ht="13.8" hidden="false" customHeight="false" outlineLevel="0" collapsed="false">
      <c r="B276" s="2" t="s">
        <v>103</v>
      </c>
      <c r="C276" s="3" t="n">
        <v>0.347222222222222</v>
      </c>
      <c r="D276" s="4" t="n">
        <v>44464</v>
      </c>
      <c r="E276" s="1" t="s">
        <v>27</v>
      </c>
      <c r="F276" s="1" t="n">
        <v>6284</v>
      </c>
      <c r="G276" s="1" t="n">
        <v>4</v>
      </c>
      <c r="H276" s="1" t="n">
        <v>4</v>
      </c>
      <c r="J276" s="12" t="n">
        <f aca="false">+K276*2</f>
        <v>2325</v>
      </c>
      <c r="K276" s="12" t="n">
        <v>1162.5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 t="n">
        <v>1162.5</v>
      </c>
      <c r="Y276" s="12" t="n">
        <f aca="false">104.63+104.63</f>
        <v>209.26</v>
      </c>
      <c r="Z276" s="11" t="n">
        <f aca="false">X276+Y276</f>
        <v>1371.76</v>
      </c>
      <c r="AA276" s="13" t="s">
        <v>31</v>
      </c>
    </row>
    <row r="277" customFormat="false" ht="13.8" hidden="false" customHeight="false" outlineLevel="0" collapsed="false">
      <c r="B277" s="2" t="s">
        <v>104</v>
      </c>
      <c r="C277" s="3" t="n">
        <v>0.435416666666667</v>
      </c>
      <c r="D277" s="4" t="n">
        <v>44396</v>
      </c>
      <c r="E277" s="1" t="s">
        <v>27</v>
      </c>
      <c r="F277" s="1" t="n">
        <v>6947</v>
      </c>
      <c r="G277" s="1" t="n">
        <v>6</v>
      </c>
      <c r="H277" s="1" t="n">
        <v>6</v>
      </c>
      <c r="J277" s="12" t="n">
        <v>6000</v>
      </c>
      <c r="K277" s="12" t="n">
        <v>3000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1"/>
      <c r="X277" s="11" t="n">
        <v>3000</v>
      </c>
      <c r="Y277" s="11" t="n">
        <v>540</v>
      </c>
      <c r="Z277" s="11" t="n">
        <f aca="false">X277+Y277</f>
        <v>3540</v>
      </c>
      <c r="AA277" s="11" t="n">
        <v>177</v>
      </c>
    </row>
    <row r="278" customFormat="false" ht="13.8" hidden="false" customHeight="false" outlineLevel="0" collapsed="false">
      <c r="B278" s="2" t="s">
        <v>104</v>
      </c>
      <c r="C278" s="3" t="n">
        <v>0.0736111111111111</v>
      </c>
      <c r="D278" s="4" t="n">
        <v>44446</v>
      </c>
      <c r="E278" s="1" t="s">
        <v>27</v>
      </c>
      <c r="F278" s="1" t="n">
        <v>6593</v>
      </c>
      <c r="G278" s="1" t="n">
        <v>4</v>
      </c>
      <c r="H278" s="1" t="n">
        <v>4</v>
      </c>
      <c r="J278" s="12" t="n">
        <f aca="false">2487+2488</f>
        <v>4975</v>
      </c>
      <c r="K278" s="12" t="n">
        <v>2487.5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 t="n">
        <v>2662</v>
      </c>
      <c r="Y278" s="12" t="n">
        <f aca="false">239.63+239.63</f>
        <v>479.26</v>
      </c>
      <c r="Z278" s="11" t="n">
        <f aca="false">X278+Y278</f>
        <v>3141.26</v>
      </c>
      <c r="AA278" s="13" t="s">
        <v>29</v>
      </c>
    </row>
    <row r="279" customFormat="false" ht="13.8" hidden="false" customHeight="false" outlineLevel="0" collapsed="false">
      <c r="B279" s="2" t="s">
        <v>105</v>
      </c>
      <c r="C279" s="3" t="n">
        <v>0.947916666666667</v>
      </c>
      <c r="D279" s="4" t="n">
        <v>44492</v>
      </c>
      <c r="E279" s="1" t="s">
        <v>27</v>
      </c>
      <c r="F279" s="1" t="n">
        <v>6508</v>
      </c>
      <c r="G279" s="1" t="n">
        <v>1</v>
      </c>
      <c r="H279" s="1" t="n">
        <v>1</v>
      </c>
      <c r="J279" s="1" t="n">
        <v>1150</v>
      </c>
      <c r="K279" s="1" t="n">
        <v>575</v>
      </c>
      <c r="X279" s="1" t="n">
        <v>575</v>
      </c>
      <c r="Y279" s="1" t="n">
        <f aca="false">51.75+51.75</f>
        <v>103.5</v>
      </c>
      <c r="Z279" s="11" t="n">
        <f aca="false">X279+Y279</f>
        <v>678.5</v>
      </c>
      <c r="AA279" s="1" t="n">
        <v>340</v>
      </c>
    </row>
    <row r="280" customFormat="false" ht="13.8" hidden="false" customHeight="false" outlineLevel="0" collapsed="false">
      <c r="B280" s="2" t="s">
        <v>104</v>
      </c>
      <c r="C280" s="3" t="n">
        <v>0.440972222222222</v>
      </c>
      <c r="D280" s="4" t="n">
        <v>44418</v>
      </c>
      <c r="E280" s="1" t="s">
        <v>27</v>
      </c>
      <c r="F280" s="1" t="n">
        <v>6491</v>
      </c>
      <c r="G280" s="1" t="n">
        <v>2</v>
      </c>
      <c r="H280" s="1" t="n">
        <v>2</v>
      </c>
      <c r="J280" s="12" t="n">
        <v>1398</v>
      </c>
      <c r="K280" s="12" t="n">
        <v>699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 t="n">
        <v>699</v>
      </c>
      <c r="Y280" s="12" t="n">
        <f aca="false">62.91+62.91</f>
        <v>125.82</v>
      </c>
      <c r="Z280" s="11" t="n">
        <f aca="false">X280+Y280</f>
        <v>824.82</v>
      </c>
      <c r="AA280" s="13" t="s">
        <v>32</v>
      </c>
    </row>
    <row r="281" customFormat="false" ht="13.8" hidden="false" customHeight="false" outlineLevel="0" collapsed="false">
      <c r="B281" s="2" t="s">
        <v>105</v>
      </c>
      <c r="C281" s="3" t="n">
        <v>0.883333333333333</v>
      </c>
      <c r="D281" s="4" t="n">
        <v>44558</v>
      </c>
      <c r="E281" s="1" t="s">
        <v>27</v>
      </c>
      <c r="F281" s="1" t="n">
        <v>6074</v>
      </c>
      <c r="G281" s="1" t="n">
        <v>6</v>
      </c>
      <c r="H281" s="1" t="n">
        <v>6</v>
      </c>
      <c r="J281" s="1" t="n">
        <f aca="false">K281*2</f>
        <v>6391.94</v>
      </c>
      <c r="K281" s="1" t="n">
        <v>3195.97</v>
      </c>
      <c r="L281" s="1" t="n">
        <v>1400</v>
      </c>
      <c r="M281" s="1" t="n">
        <v>700</v>
      </c>
      <c r="X281" s="1" t="n">
        <v>3895.97</v>
      </c>
      <c r="Y281" s="1" t="n">
        <f aca="false">350.64+350.64</f>
        <v>701.28</v>
      </c>
      <c r="Z281" s="1" t="n">
        <f aca="false">X281+Y281</f>
        <v>4597.25</v>
      </c>
      <c r="AA281" s="1" t="n">
        <v>277</v>
      </c>
    </row>
    <row r="282" customFormat="false" ht="13.8" hidden="false" customHeight="false" outlineLevel="0" collapsed="false">
      <c r="B282" s="2" t="s">
        <v>104</v>
      </c>
      <c r="C282" s="3" t="n">
        <v>0.304166666666667</v>
      </c>
      <c r="D282" s="4" t="n">
        <v>44409</v>
      </c>
      <c r="E282" s="1" t="s">
        <v>27</v>
      </c>
      <c r="F282" s="1" t="n">
        <v>2153</v>
      </c>
      <c r="G282" s="1" t="n">
        <v>1</v>
      </c>
      <c r="H282" s="1" t="n">
        <v>1</v>
      </c>
      <c r="J282" s="12" t="n">
        <v>550</v>
      </c>
      <c r="K282" s="12" t="n">
        <v>110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 t="n">
        <v>440</v>
      </c>
      <c r="Y282" s="12" t="n">
        <f aca="false">39.6+39.6</f>
        <v>79.2</v>
      </c>
      <c r="Z282" s="11" t="n">
        <f aca="false">X282+Y282</f>
        <v>519.2</v>
      </c>
      <c r="AA282" s="13" t="s">
        <v>34</v>
      </c>
    </row>
    <row r="283" customFormat="false" ht="13.8" hidden="false" customHeight="false" outlineLevel="0" collapsed="false">
      <c r="B283" s="2" t="s">
        <v>106</v>
      </c>
      <c r="C283" s="3" t="n">
        <v>0.352083333333333</v>
      </c>
      <c r="D283" s="4" t="n">
        <v>44414</v>
      </c>
      <c r="E283" s="1" t="s">
        <v>28</v>
      </c>
      <c r="F283" s="1" t="n">
        <v>2572</v>
      </c>
      <c r="G283" s="1" t="n">
        <v>2</v>
      </c>
      <c r="H283" s="1" t="n">
        <v>2</v>
      </c>
      <c r="J283" s="12" t="n">
        <v>1175</v>
      </c>
      <c r="K283" s="12" t="n">
        <v>235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 t="n">
        <v>940</v>
      </c>
      <c r="Y283" s="12" t="n">
        <f aca="false">84.6+84.6</f>
        <v>169.2</v>
      </c>
      <c r="Z283" s="11" t="n">
        <f aca="false">X283+Y283</f>
        <v>1109.2</v>
      </c>
      <c r="AA283" s="13" t="s">
        <v>34</v>
      </c>
    </row>
    <row r="284" customFormat="false" ht="13.8" hidden="false" customHeight="false" outlineLevel="0" collapsed="false">
      <c r="B284" s="2" t="s">
        <v>107</v>
      </c>
      <c r="C284" s="3" t="n">
        <v>0.371527777777778</v>
      </c>
      <c r="D284" s="4" t="n">
        <v>44429</v>
      </c>
      <c r="E284" s="1" t="s">
        <v>27</v>
      </c>
      <c r="F284" s="1" t="n">
        <v>6909</v>
      </c>
      <c r="G284" s="1" t="n">
        <v>3</v>
      </c>
      <c r="H284" s="1" t="n">
        <v>3</v>
      </c>
      <c r="J284" s="12" t="n">
        <v>3900</v>
      </c>
      <c r="K284" s="12" t="n">
        <v>1200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 t="n">
        <v>3600</v>
      </c>
      <c r="Y284" s="12" t="n">
        <f aca="false">324+324</f>
        <v>648</v>
      </c>
      <c r="Z284" s="11" t="n">
        <f aca="false">X284+Y284</f>
        <v>4248</v>
      </c>
      <c r="AA284" s="13" t="s">
        <v>83</v>
      </c>
    </row>
    <row r="285" customFormat="false" ht="13.8" hidden="false" customHeight="false" outlineLevel="0" collapsed="false">
      <c r="B285" s="2" t="s">
        <v>107</v>
      </c>
      <c r="C285" s="3" t="n">
        <v>0.386805555555556</v>
      </c>
      <c r="D285" s="4" t="n">
        <v>44393</v>
      </c>
      <c r="E285" s="1" t="s">
        <v>27</v>
      </c>
      <c r="F285" s="1" t="n">
        <v>6877</v>
      </c>
      <c r="G285" s="1" t="n">
        <v>5</v>
      </c>
      <c r="H285" s="1" t="n">
        <v>5</v>
      </c>
      <c r="J285" s="12" t="n">
        <v>3495</v>
      </c>
      <c r="K285" s="12" t="n">
        <v>699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1"/>
      <c r="X285" s="11" t="n">
        <v>2796</v>
      </c>
      <c r="Y285" s="11" t="n">
        <f aca="false">251.64+251.64</f>
        <v>503.28</v>
      </c>
      <c r="Z285" s="11" t="n">
        <f aca="false">X285+Y285</f>
        <v>3299.28</v>
      </c>
      <c r="AA285" s="11" t="n">
        <v>177</v>
      </c>
    </row>
    <row r="286" customFormat="false" ht="13.8" hidden="false" customHeight="false" outlineLevel="0" collapsed="false">
      <c r="B286" s="2" t="s">
        <v>108</v>
      </c>
      <c r="C286" s="3" t="n">
        <v>0.964583333333333</v>
      </c>
      <c r="D286" s="4" t="n">
        <v>44499</v>
      </c>
      <c r="E286" s="1" t="s">
        <v>27</v>
      </c>
      <c r="F286" s="1" t="n">
        <v>6864</v>
      </c>
      <c r="G286" s="1" t="n">
        <v>7</v>
      </c>
      <c r="H286" s="1" t="n">
        <v>7</v>
      </c>
      <c r="J286" s="1" t="n">
        <v>8400</v>
      </c>
      <c r="K286" s="1" t="n">
        <v>4200</v>
      </c>
      <c r="X286" s="1" t="n">
        <v>4200</v>
      </c>
      <c r="Y286" s="1" t="n">
        <f aca="false">378+378</f>
        <v>756</v>
      </c>
      <c r="Z286" s="11" t="n">
        <f aca="false">X286+Y286</f>
        <v>4956</v>
      </c>
      <c r="AA286" s="1" t="n">
        <v>763</v>
      </c>
    </row>
    <row r="287" customFormat="false" ht="13.8" hidden="false" customHeight="false" outlineLevel="0" collapsed="false">
      <c r="B287" s="2" t="s">
        <v>108</v>
      </c>
      <c r="C287" s="3" t="n">
        <v>0.920833333333333</v>
      </c>
      <c r="D287" s="4" t="n">
        <v>44500</v>
      </c>
      <c r="E287" s="1" t="s">
        <v>27</v>
      </c>
      <c r="F287" s="1" t="n">
        <v>6854</v>
      </c>
      <c r="G287" s="1" t="n">
        <v>2</v>
      </c>
      <c r="H287" s="1" t="n">
        <v>2</v>
      </c>
      <c r="J287" s="1" t="n">
        <v>2400</v>
      </c>
      <c r="K287" s="1" t="n">
        <v>1200</v>
      </c>
      <c r="X287" s="1" t="n">
        <v>1200</v>
      </c>
      <c r="Y287" s="1" t="n">
        <v>216</v>
      </c>
      <c r="Z287" s="11" t="n">
        <f aca="false">X287+Y287</f>
        <v>1416</v>
      </c>
      <c r="AA287" s="1" t="n">
        <v>763</v>
      </c>
    </row>
    <row r="288" customFormat="false" ht="13.8" hidden="false" customHeight="false" outlineLevel="0" collapsed="false">
      <c r="B288" s="2" t="s">
        <v>108</v>
      </c>
      <c r="C288" s="3" t="n">
        <v>0.580555555555556</v>
      </c>
      <c r="D288" s="4" t="n">
        <v>44500</v>
      </c>
      <c r="E288" s="1" t="s">
        <v>27</v>
      </c>
      <c r="F288" s="1" t="n">
        <v>6817</v>
      </c>
      <c r="G288" s="1" t="n">
        <v>2</v>
      </c>
      <c r="H288" s="1" t="n">
        <v>2</v>
      </c>
      <c r="J288" s="1" t="n">
        <v>1350</v>
      </c>
      <c r="K288" s="1" t="n">
        <v>675</v>
      </c>
      <c r="X288" s="1" t="n">
        <v>675</v>
      </c>
      <c r="Y288" s="1" t="n">
        <f aca="false">60.75+60.75</f>
        <v>121.5</v>
      </c>
      <c r="Z288" s="11" t="n">
        <f aca="false">X288+Y288</f>
        <v>796.5</v>
      </c>
      <c r="AA288" s="1" t="n">
        <v>277</v>
      </c>
    </row>
    <row r="289" customFormat="false" ht="13.8" hidden="false" customHeight="false" outlineLevel="0" collapsed="false">
      <c r="B289" s="2" t="s">
        <v>107</v>
      </c>
      <c r="C289" s="3" t="n">
        <v>0.35625</v>
      </c>
      <c r="D289" s="4" t="n">
        <v>44451</v>
      </c>
      <c r="E289" s="1" t="s">
        <v>27</v>
      </c>
      <c r="F289" s="1" t="n">
        <v>6810</v>
      </c>
      <c r="G289" s="1" t="n">
        <v>3</v>
      </c>
      <c r="H289" s="1" t="n">
        <v>3</v>
      </c>
      <c r="J289" s="12" t="n">
        <v>1200</v>
      </c>
      <c r="K289" s="12" t="n">
        <v>600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 t="n">
        <v>600</v>
      </c>
      <c r="Y289" s="12" t="n">
        <v>108</v>
      </c>
      <c r="Z289" s="11" t="n">
        <f aca="false">X289+Y289</f>
        <v>708</v>
      </c>
      <c r="AA289" s="13" t="s">
        <v>29</v>
      </c>
    </row>
    <row r="290" customFormat="false" ht="13.8" hidden="false" customHeight="false" outlineLevel="0" collapsed="false">
      <c r="B290" s="2" t="s">
        <v>107</v>
      </c>
      <c r="C290" s="3" t="n">
        <v>0.226388888888889</v>
      </c>
      <c r="D290" s="4" t="n">
        <v>44451</v>
      </c>
      <c r="E290" s="1" t="s">
        <v>27</v>
      </c>
      <c r="F290" s="1" t="n">
        <v>6804</v>
      </c>
      <c r="G290" s="1" t="n">
        <v>2</v>
      </c>
      <c r="H290" s="1" t="n">
        <v>2</v>
      </c>
      <c r="J290" s="12" t="n">
        <f aca="false">425+425+225+400+500</f>
        <v>1975</v>
      </c>
      <c r="K290" s="12" t="n">
        <v>987.5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 t="n">
        <v>987.5</v>
      </c>
      <c r="Y290" s="12" t="n">
        <f aca="false">88.88+88.88</f>
        <v>177.76</v>
      </c>
      <c r="Z290" s="11" t="n">
        <f aca="false">X290+Y290</f>
        <v>1165.26</v>
      </c>
      <c r="AA290" s="13" t="s">
        <v>29</v>
      </c>
    </row>
    <row r="291" customFormat="false" ht="13.8" hidden="false" customHeight="false" outlineLevel="0" collapsed="false">
      <c r="B291" s="2" t="s">
        <v>107</v>
      </c>
      <c r="C291" s="3" t="n">
        <v>0.934027777777778</v>
      </c>
      <c r="D291" s="4" t="n">
        <v>44499</v>
      </c>
      <c r="E291" s="1" t="s">
        <v>27</v>
      </c>
      <c r="F291" s="1" t="n">
        <v>6800</v>
      </c>
      <c r="G291" s="1" t="n">
        <v>8</v>
      </c>
      <c r="H291" s="1" t="n">
        <v>8</v>
      </c>
      <c r="J291" s="1" t="n">
        <v>10100</v>
      </c>
      <c r="K291" s="1" t="n">
        <v>5050</v>
      </c>
      <c r="X291" s="1" t="n">
        <v>5050</v>
      </c>
      <c r="Y291" s="1" t="n">
        <f aca="false">454.5+454.5</f>
        <v>909</v>
      </c>
      <c r="Z291" s="11" t="n">
        <f aca="false">X291+Y291</f>
        <v>5959</v>
      </c>
      <c r="AA291" s="1" t="n">
        <v>340</v>
      </c>
    </row>
    <row r="292" customFormat="false" ht="13.8" hidden="false" customHeight="false" outlineLevel="0" collapsed="false">
      <c r="B292" s="2" t="s">
        <v>107</v>
      </c>
      <c r="C292" s="3" t="n">
        <v>0.909722222222222</v>
      </c>
      <c r="D292" s="4" t="n">
        <v>44499</v>
      </c>
      <c r="E292" s="1" t="s">
        <v>27</v>
      </c>
      <c r="F292" s="1" t="n">
        <v>6794</v>
      </c>
      <c r="G292" s="1" t="n">
        <v>2</v>
      </c>
      <c r="H292" s="1" t="n">
        <v>2</v>
      </c>
      <c r="J292" s="1" t="n">
        <v>2400</v>
      </c>
      <c r="K292" s="1" t="n">
        <v>1200</v>
      </c>
      <c r="X292" s="1" t="n">
        <v>1200</v>
      </c>
      <c r="Y292" s="1" t="n">
        <v>216</v>
      </c>
      <c r="Z292" s="11" t="n">
        <f aca="false">X292+Y292</f>
        <v>1416</v>
      </c>
      <c r="AA292" s="1" t="n">
        <v>359</v>
      </c>
    </row>
    <row r="293" customFormat="false" ht="13.8" hidden="false" customHeight="false" outlineLevel="0" collapsed="false">
      <c r="B293" s="2" t="s">
        <v>107</v>
      </c>
      <c r="C293" s="3" t="n">
        <v>0.901388888888889</v>
      </c>
      <c r="D293" s="4" t="n">
        <v>44499</v>
      </c>
      <c r="E293" s="1" t="s">
        <v>27</v>
      </c>
      <c r="F293" s="1" t="n">
        <v>6793</v>
      </c>
      <c r="G293" s="1" t="n">
        <v>5</v>
      </c>
      <c r="H293" s="1" t="n">
        <v>5</v>
      </c>
      <c r="J293" s="1" t="n">
        <v>5300</v>
      </c>
      <c r="K293" s="1" t="n">
        <v>2650</v>
      </c>
      <c r="L293" s="1" t="n">
        <v>525</v>
      </c>
      <c r="M293" s="1" t="n">
        <v>262.5</v>
      </c>
      <c r="X293" s="1" t="n">
        <v>2912.5</v>
      </c>
      <c r="Y293" s="1" t="n">
        <f aca="false">262.13+262.13</f>
        <v>524.26</v>
      </c>
      <c r="Z293" s="11" t="n">
        <f aca="false">X293+Y293</f>
        <v>3436.76</v>
      </c>
      <c r="AA293" s="1" t="n">
        <v>277</v>
      </c>
    </row>
    <row r="294" customFormat="false" ht="13.8" hidden="false" customHeight="false" outlineLevel="0" collapsed="false">
      <c r="B294" s="2" t="s">
        <v>107</v>
      </c>
      <c r="C294" s="3" t="n">
        <v>0.930555555555555</v>
      </c>
      <c r="D294" s="4" t="n">
        <v>44498</v>
      </c>
      <c r="E294" s="1" t="s">
        <v>27</v>
      </c>
      <c r="F294" s="1" t="n">
        <v>6746</v>
      </c>
      <c r="G294" s="1" t="n">
        <v>7</v>
      </c>
      <c r="H294" s="1" t="n">
        <v>7</v>
      </c>
      <c r="J294" s="1" t="n">
        <v>8400</v>
      </c>
      <c r="K294" s="1" t="n">
        <v>4200</v>
      </c>
      <c r="X294" s="1" t="n">
        <v>4200</v>
      </c>
      <c r="Y294" s="1" t="n">
        <f aca="false">378+378</f>
        <v>756</v>
      </c>
      <c r="Z294" s="11" t="n">
        <f aca="false">X294+Y294</f>
        <v>4956</v>
      </c>
      <c r="AA294" s="1" t="n">
        <v>740</v>
      </c>
    </row>
    <row r="295" customFormat="false" ht="13.8" hidden="false" customHeight="false" outlineLevel="0" collapsed="false">
      <c r="B295" s="2" t="s">
        <v>107</v>
      </c>
      <c r="C295" s="3" t="n">
        <v>0.921527777777778</v>
      </c>
      <c r="D295" s="4" t="n">
        <v>44498</v>
      </c>
      <c r="E295" s="1" t="s">
        <v>27</v>
      </c>
      <c r="F295" s="1" t="n">
        <v>6745</v>
      </c>
      <c r="G295" s="1" t="n">
        <v>1</v>
      </c>
      <c r="H295" s="1" t="n">
        <v>1</v>
      </c>
      <c r="J295" s="1" t="n">
        <v>1200</v>
      </c>
      <c r="K295" s="1" t="n">
        <v>600</v>
      </c>
      <c r="X295" s="1" t="n">
        <v>600</v>
      </c>
      <c r="Y295" s="1" t="n">
        <v>108</v>
      </c>
      <c r="Z295" s="11" t="n">
        <f aca="false">X295+Y295</f>
        <v>708</v>
      </c>
      <c r="AA295" s="1" t="n">
        <v>763</v>
      </c>
    </row>
    <row r="296" customFormat="false" ht="13.8" hidden="false" customHeight="false" outlineLevel="0" collapsed="false">
      <c r="B296" s="2" t="s">
        <v>107</v>
      </c>
      <c r="C296" s="3" t="n">
        <v>0.933333333333333</v>
      </c>
      <c r="D296" s="4" t="n">
        <v>44497</v>
      </c>
      <c r="E296" s="1" t="s">
        <v>27</v>
      </c>
      <c r="F296" s="1" t="n">
        <v>6703</v>
      </c>
      <c r="G296" s="1" t="n">
        <v>1</v>
      </c>
      <c r="H296" s="1" t="n">
        <v>1</v>
      </c>
      <c r="J296" s="1" t="n">
        <v>1250</v>
      </c>
      <c r="K296" s="1" t="n">
        <v>612.5</v>
      </c>
      <c r="X296" s="1" t="n">
        <v>612.5</v>
      </c>
      <c r="Y296" s="1" t="n">
        <f aca="false">55.13+55.13</f>
        <v>110.26</v>
      </c>
      <c r="Z296" s="11" t="n">
        <f aca="false">X296+Y296</f>
        <v>722.76</v>
      </c>
      <c r="AA296" s="1" t="n">
        <v>340</v>
      </c>
    </row>
    <row r="297" customFormat="false" ht="13.8" hidden="false" customHeight="false" outlineLevel="0" collapsed="false">
      <c r="B297" s="2" t="s">
        <v>107</v>
      </c>
      <c r="C297" s="3" t="n">
        <v>0.0722222222222222</v>
      </c>
      <c r="D297" s="4" t="n">
        <v>44380</v>
      </c>
      <c r="E297" s="1" t="s">
        <v>27</v>
      </c>
      <c r="F297" s="1" t="n">
        <v>6643</v>
      </c>
      <c r="G297" s="1" t="n">
        <v>3</v>
      </c>
      <c r="H297" s="1" t="n">
        <v>3</v>
      </c>
      <c r="J297" s="12" t="n">
        <v>1650</v>
      </c>
      <c r="K297" s="12" t="n">
        <v>825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1"/>
      <c r="X297" s="11" t="n">
        <v>825</v>
      </c>
      <c r="Y297" s="11" t="n">
        <f aca="false">74.25+74.25</f>
        <v>148.5</v>
      </c>
      <c r="Z297" s="11" t="n">
        <f aca="false">X297+Y297</f>
        <v>973.5</v>
      </c>
      <c r="AA297" s="11" t="n">
        <v>177</v>
      </c>
    </row>
    <row r="298" customFormat="false" ht="13.8" hidden="false" customHeight="false" outlineLevel="0" collapsed="false">
      <c r="B298" s="2" t="s">
        <v>107</v>
      </c>
      <c r="C298" s="3" t="n">
        <v>0.0972222222222222</v>
      </c>
      <c r="D298" s="4" t="n">
        <v>44422</v>
      </c>
      <c r="E298" s="1" t="s">
        <v>27</v>
      </c>
      <c r="F298" s="1" t="n">
        <v>6623</v>
      </c>
      <c r="G298" s="1" t="n">
        <v>2</v>
      </c>
      <c r="H298" s="1" t="n">
        <v>2</v>
      </c>
      <c r="J298" s="12" t="n">
        <v>1299</v>
      </c>
      <c r="K298" s="12" t="n">
        <v>649.5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 t="n">
        <v>649.5</v>
      </c>
      <c r="Y298" s="12" t="n">
        <f aca="false">58.46+58.46</f>
        <v>116.92</v>
      </c>
      <c r="Z298" s="11" t="n">
        <f aca="false">X298+Y298</f>
        <v>766.42</v>
      </c>
      <c r="AA298" s="13" t="s">
        <v>34</v>
      </c>
    </row>
    <row r="299" customFormat="false" ht="13.8" hidden="false" customHeight="false" outlineLevel="0" collapsed="false">
      <c r="B299" s="2" t="s">
        <v>107</v>
      </c>
      <c r="C299" s="3" t="n">
        <v>0.365972222222222</v>
      </c>
      <c r="D299" s="4" t="n">
        <v>44472</v>
      </c>
      <c r="E299" s="1" t="s">
        <v>27</v>
      </c>
      <c r="F299" s="1" t="n">
        <v>6613</v>
      </c>
      <c r="G299" s="1" t="n">
        <v>5</v>
      </c>
      <c r="H299" s="1" t="n">
        <v>5</v>
      </c>
      <c r="J299" s="12" t="n">
        <v>4800</v>
      </c>
      <c r="K299" s="12" t="n">
        <v>2400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 t="n">
        <v>2400</v>
      </c>
      <c r="Y299" s="12" t="n">
        <v>432</v>
      </c>
      <c r="Z299" s="11" t="n">
        <f aca="false">X299+Y299</f>
        <v>2832</v>
      </c>
      <c r="AA299" s="13" t="s">
        <v>31</v>
      </c>
    </row>
    <row r="300" customFormat="false" ht="13.8" hidden="false" customHeight="false" outlineLevel="0" collapsed="false">
      <c r="B300" s="2" t="s">
        <v>108</v>
      </c>
      <c r="C300" s="3" t="n">
        <v>0.302083333333333</v>
      </c>
      <c r="D300" s="4" t="n">
        <v>44472</v>
      </c>
      <c r="E300" s="1" t="s">
        <v>27</v>
      </c>
      <c r="F300" s="1" t="n">
        <v>6610</v>
      </c>
      <c r="G300" s="1" t="n">
        <v>5</v>
      </c>
      <c r="H300" s="1" t="n">
        <v>5</v>
      </c>
      <c r="J300" s="12" t="n">
        <v>6000</v>
      </c>
      <c r="K300" s="12" t="n">
        <v>125057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 t="n">
        <v>3000</v>
      </c>
      <c r="Y300" s="12" t="n">
        <v>40</v>
      </c>
      <c r="Z300" s="11" t="n">
        <f aca="false">X300+Y300</f>
        <v>3040</v>
      </c>
      <c r="AA300" s="13" t="s">
        <v>31</v>
      </c>
    </row>
    <row r="301" customFormat="false" ht="13.8" hidden="false" customHeight="false" outlineLevel="0" collapsed="false">
      <c r="B301" s="2" t="s">
        <v>107</v>
      </c>
      <c r="C301" s="3" t="n">
        <v>0.836805555555555</v>
      </c>
      <c r="D301" s="4" t="n">
        <v>44522</v>
      </c>
      <c r="E301" s="1" t="s">
        <v>27</v>
      </c>
      <c r="F301" s="1" t="n">
        <v>6598</v>
      </c>
      <c r="G301" s="1" t="n">
        <v>14</v>
      </c>
      <c r="H301" s="1" t="n">
        <v>14</v>
      </c>
      <c r="J301" s="1" t="n">
        <v>12000</v>
      </c>
      <c r="K301" s="1" t="n">
        <v>6000</v>
      </c>
      <c r="X301" s="1" t="n">
        <v>6000</v>
      </c>
      <c r="Y301" s="1" t="n">
        <v>1080</v>
      </c>
      <c r="Z301" s="11" t="n">
        <f aca="false">X301+Y301</f>
        <v>7080</v>
      </c>
      <c r="AA301" s="1" t="n">
        <v>277</v>
      </c>
    </row>
    <row r="302" customFormat="false" ht="13.8" hidden="false" customHeight="false" outlineLevel="0" collapsed="false">
      <c r="B302" s="2" t="s">
        <v>108</v>
      </c>
      <c r="C302" s="3" t="n">
        <v>0.302777777777778</v>
      </c>
      <c r="D302" s="4" t="n">
        <v>44471</v>
      </c>
      <c r="E302" s="1" t="s">
        <v>27</v>
      </c>
      <c r="F302" s="1" t="n">
        <v>6562</v>
      </c>
      <c r="G302" s="1" t="n">
        <v>2</v>
      </c>
      <c r="H302" s="1" t="n">
        <v>2</v>
      </c>
      <c r="J302" s="12" t="n">
        <v>1600</v>
      </c>
      <c r="K302" s="12" t="n">
        <v>800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 t="n">
        <v>800</v>
      </c>
      <c r="Y302" s="12" t="n">
        <v>144</v>
      </c>
      <c r="Z302" s="11" t="n">
        <f aca="false">X302+Y302</f>
        <v>944</v>
      </c>
      <c r="AA302" s="13" t="s">
        <v>31</v>
      </c>
    </row>
    <row r="303" customFormat="false" ht="13.8" hidden="false" customHeight="false" outlineLevel="0" collapsed="false">
      <c r="B303" s="2" t="s">
        <v>108</v>
      </c>
      <c r="C303" s="3" t="n">
        <v>0.859722222222222</v>
      </c>
      <c r="D303" s="4" t="n">
        <v>44493</v>
      </c>
      <c r="E303" s="1" t="s">
        <v>27</v>
      </c>
      <c r="F303" s="1" t="n">
        <v>6543</v>
      </c>
      <c r="G303" s="1" t="n">
        <v>2</v>
      </c>
      <c r="H303" s="1" t="n">
        <v>2</v>
      </c>
      <c r="J303" s="1" t="n">
        <v>1750</v>
      </c>
      <c r="K303" s="1" t="n">
        <v>875</v>
      </c>
      <c r="X303" s="1" t="n">
        <v>875</v>
      </c>
      <c r="Y303" s="1" t="n">
        <f aca="false">78.75+78.75</f>
        <v>157.5</v>
      </c>
      <c r="Z303" s="11" t="n">
        <f aca="false">X303+Y303</f>
        <v>1032.5</v>
      </c>
      <c r="AA303" s="1" t="n">
        <v>363</v>
      </c>
    </row>
    <row r="304" customFormat="false" ht="13.8" hidden="false" customHeight="false" outlineLevel="0" collapsed="false">
      <c r="B304" s="2" t="s">
        <v>108</v>
      </c>
      <c r="C304" s="3" t="n">
        <v>0.901388888888889</v>
      </c>
      <c r="D304" s="4" t="n">
        <v>44492</v>
      </c>
      <c r="E304" s="1" t="s">
        <v>27</v>
      </c>
      <c r="F304" s="1" t="n">
        <v>6502</v>
      </c>
      <c r="G304" s="1" t="n">
        <v>4</v>
      </c>
      <c r="H304" s="1" t="n">
        <v>4</v>
      </c>
      <c r="J304" s="1" t="n">
        <v>2775</v>
      </c>
      <c r="K304" s="1" t="n">
        <v>1387.5</v>
      </c>
      <c r="X304" s="1" t="n">
        <v>137.5</v>
      </c>
      <c r="Y304" s="1" t="n">
        <f aca="false">124.88+124.88</f>
        <v>249.76</v>
      </c>
      <c r="Z304" s="11" t="n">
        <f aca="false">X304+Y304</f>
        <v>387.26</v>
      </c>
      <c r="AA304" s="1" t="n">
        <v>340</v>
      </c>
    </row>
    <row r="305" customFormat="false" ht="13.8" hidden="false" customHeight="false" outlineLevel="0" collapsed="false">
      <c r="B305" s="2" t="s">
        <v>108</v>
      </c>
      <c r="C305" s="3" t="n">
        <v>0.591666666666667</v>
      </c>
      <c r="D305" s="4" t="n">
        <v>44492</v>
      </c>
      <c r="E305" s="1" t="s">
        <v>27</v>
      </c>
      <c r="F305" s="1" t="n">
        <v>6473</v>
      </c>
      <c r="G305" s="1" t="n">
        <v>4</v>
      </c>
      <c r="H305" s="1" t="n">
        <v>4</v>
      </c>
      <c r="J305" s="1" t="n">
        <v>5196</v>
      </c>
      <c r="K305" s="1" t="n">
        <v>1039.2</v>
      </c>
      <c r="X305" s="1" t="n">
        <v>4156.8</v>
      </c>
      <c r="Y305" s="1" t="n">
        <f aca="false">374.11+374.11</f>
        <v>748.22</v>
      </c>
      <c r="Z305" s="11" t="n">
        <f aca="false">X305+Y305</f>
        <v>4905.02</v>
      </c>
      <c r="AA305" s="1" t="n">
        <v>277</v>
      </c>
    </row>
    <row r="306" customFormat="false" ht="13.8" hidden="false" customHeight="false" outlineLevel="0" collapsed="false">
      <c r="B306" s="2" t="s">
        <v>107</v>
      </c>
      <c r="C306" s="3" t="n">
        <v>0.311805555555556</v>
      </c>
      <c r="D306" s="4" t="n">
        <v>44416</v>
      </c>
      <c r="E306" s="1" t="s">
        <v>27</v>
      </c>
      <c r="F306" s="1" t="n">
        <v>6463</v>
      </c>
      <c r="G306" s="1" t="n">
        <v>2</v>
      </c>
      <c r="H306" s="1" t="n">
        <v>2</v>
      </c>
      <c r="J306" s="12" t="n">
        <v>2300</v>
      </c>
      <c r="K306" s="12" t="n">
        <v>1150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 t="n">
        <v>1150</v>
      </c>
      <c r="Y306" s="12" t="n">
        <v>207</v>
      </c>
      <c r="Z306" s="11" t="n">
        <f aca="false">X306+Y306</f>
        <v>1357</v>
      </c>
      <c r="AA306" s="13" t="s">
        <v>32</v>
      </c>
    </row>
    <row r="307" customFormat="false" ht="13.8" hidden="false" customHeight="false" outlineLevel="0" collapsed="false">
      <c r="B307" s="2" t="s">
        <v>108</v>
      </c>
      <c r="C307" s="3" t="n">
        <v>0.559027777777778</v>
      </c>
      <c r="D307" s="4" t="n">
        <v>44492</v>
      </c>
      <c r="E307" s="1" t="s">
        <v>27</v>
      </c>
      <c r="F307" s="1" t="n">
        <v>6463</v>
      </c>
      <c r="G307" s="1" t="n">
        <v>10</v>
      </c>
      <c r="H307" s="1" t="n">
        <v>10</v>
      </c>
      <c r="J307" s="1" t="n">
        <f aca="false">K307*2</f>
        <v>14040</v>
      </c>
      <c r="K307" s="1" t="n">
        <v>7020</v>
      </c>
      <c r="X307" s="1" t="n">
        <v>7020</v>
      </c>
      <c r="Y307" s="1" t="n">
        <f aca="false">631.8+631.8</f>
        <v>1263.6</v>
      </c>
      <c r="Z307" s="11" t="n">
        <f aca="false">X307+Y307</f>
        <v>8283.6</v>
      </c>
      <c r="AA307" s="1" t="n">
        <v>277</v>
      </c>
    </row>
    <row r="308" customFormat="false" ht="13.8" hidden="false" customHeight="false" outlineLevel="0" collapsed="false">
      <c r="B308" s="2" t="s">
        <v>108</v>
      </c>
      <c r="C308" s="3" t="n">
        <v>0.0451388888888889</v>
      </c>
      <c r="D308" s="4" t="n">
        <v>44468</v>
      </c>
      <c r="E308" s="1" t="s">
        <v>27</v>
      </c>
      <c r="F308" s="1" t="n">
        <v>6455</v>
      </c>
      <c r="G308" s="1" t="n">
        <v>2</v>
      </c>
      <c r="H308" s="1" t="n">
        <v>2</v>
      </c>
      <c r="J308" s="12" t="n">
        <f aca="false">+K308*2</f>
        <v>1525</v>
      </c>
      <c r="K308" s="12" t="n">
        <v>762.5</v>
      </c>
      <c r="L308" s="12" t="n">
        <v>350</v>
      </c>
      <c r="M308" s="12" t="n">
        <v>175</v>
      </c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 t="n">
        <v>937.5</v>
      </c>
      <c r="Y308" s="12" t="n">
        <f aca="false">84.38+84.38</f>
        <v>168.76</v>
      </c>
      <c r="Z308" s="11" t="n">
        <f aca="false">X308+Y308</f>
        <v>1106.26</v>
      </c>
      <c r="AA308" s="13" t="s">
        <v>31</v>
      </c>
    </row>
    <row r="309" customFormat="false" ht="13.8" hidden="false" customHeight="false" outlineLevel="0" collapsed="false">
      <c r="A309" s="11"/>
      <c r="B309" s="11" t="s">
        <v>108</v>
      </c>
      <c r="C309" s="23" t="n">
        <v>0.403472222222222</v>
      </c>
      <c r="D309" s="24" t="n">
        <v>44371</v>
      </c>
      <c r="E309" s="11" t="s">
        <v>27</v>
      </c>
      <c r="F309" s="11" t="n">
        <v>6451</v>
      </c>
      <c r="G309" s="11" t="n">
        <v>1</v>
      </c>
      <c r="H309" s="11" t="n">
        <v>1</v>
      </c>
      <c r="I309" s="11"/>
      <c r="J309" s="11" t="n">
        <v>1500</v>
      </c>
      <c r="K309" s="11" t="n">
        <v>750</v>
      </c>
      <c r="L309" s="11"/>
      <c r="M309" s="11"/>
      <c r="N309" s="11"/>
      <c r="O309" s="11"/>
      <c r="P309" s="11"/>
      <c r="Q309" s="11"/>
      <c r="R309" s="11" t="n">
        <v>750</v>
      </c>
      <c r="S309" s="11" t="n">
        <v>750</v>
      </c>
      <c r="T309" s="11" t="n">
        <v>135</v>
      </c>
      <c r="U309" s="11" t="n">
        <v>885</v>
      </c>
      <c r="V309" s="11" t="n">
        <v>158</v>
      </c>
      <c r="W309" s="11"/>
      <c r="X309" s="11" t="n">
        <v>750</v>
      </c>
      <c r="Y309" s="11" t="n">
        <v>135</v>
      </c>
      <c r="Z309" s="11" t="n">
        <v>885</v>
      </c>
      <c r="AA309" s="11" t="n">
        <v>158</v>
      </c>
    </row>
    <row r="310" customFormat="false" ht="13.8" hidden="false" customHeight="false" outlineLevel="0" collapsed="false">
      <c r="B310" s="2" t="s">
        <v>107</v>
      </c>
      <c r="C310" s="3" t="n">
        <v>0.409027777777778</v>
      </c>
      <c r="D310" s="4" t="n">
        <v>44468</v>
      </c>
      <c r="E310" s="1" t="s">
        <v>27</v>
      </c>
      <c r="F310" s="1" t="n">
        <v>6445</v>
      </c>
      <c r="G310" s="1" t="n">
        <v>4</v>
      </c>
      <c r="H310" s="1" t="n">
        <v>4</v>
      </c>
      <c r="J310" s="12" t="n">
        <v>4800</v>
      </c>
      <c r="K310" s="12" t="n">
        <v>2400</v>
      </c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 t="n">
        <v>2400</v>
      </c>
      <c r="Y310" s="12" t="n">
        <v>432</v>
      </c>
      <c r="Z310" s="11" t="n">
        <f aca="false">X310+Y310</f>
        <v>2832</v>
      </c>
      <c r="AA310" s="13" t="s">
        <v>40</v>
      </c>
    </row>
    <row r="311" customFormat="false" ht="13.8" hidden="false" customHeight="false" outlineLevel="0" collapsed="false">
      <c r="B311" s="2" t="s">
        <v>108</v>
      </c>
      <c r="C311" s="3" t="n">
        <v>0.866666666666667</v>
      </c>
      <c r="D311" s="4" t="n">
        <v>44491</v>
      </c>
      <c r="E311" s="1" t="s">
        <v>27</v>
      </c>
      <c r="F311" s="1" t="n">
        <v>6438</v>
      </c>
      <c r="G311" s="1" t="n">
        <v>10</v>
      </c>
      <c r="H311" s="1" t="n">
        <v>10</v>
      </c>
      <c r="J311" s="1" t="n">
        <v>12000</v>
      </c>
      <c r="K311" s="1" t="n">
        <v>6000</v>
      </c>
      <c r="X311" s="1" t="n">
        <v>6000</v>
      </c>
      <c r="Y311" s="1" t="n">
        <v>1080</v>
      </c>
      <c r="Z311" s="11" t="n">
        <f aca="false">X311+Y311</f>
        <v>7080</v>
      </c>
      <c r="AA311" s="1" t="n">
        <v>340</v>
      </c>
    </row>
    <row r="312" s="15" customFormat="true" ht="13.8" hidden="false" customHeight="false" outlineLevel="0" collapsed="false">
      <c r="A312" s="1"/>
      <c r="B312" s="2" t="s">
        <v>107</v>
      </c>
      <c r="C312" s="3" t="n">
        <v>0.834722222222222</v>
      </c>
      <c r="D312" s="4" t="n">
        <v>44541</v>
      </c>
      <c r="E312" s="1" t="s">
        <v>27</v>
      </c>
      <c r="F312" s="1" t="n">
        <v>6396</v>
      </c>
      <c r="G312" s="1" t="n">
        <v>6</v>
      </c>
      <c r="H312" s="1" t="n">
        <v>6</v>
      </c>
      <c r="I312" s="1"/>
      <c r="J312" s="1" t="n">
        <f aca="false">K312*2</f>
        <v>6275</v>
      </c>
      <c r="K312" s="1" t="n">
        <v>3137.5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 t="n">
        <v>3837</v>
      </c>
      <c r="Y312" s="1" t="n">
        <f aca="false">345.38+345.38</f>
        <v>690.76</v>
      </c>
      <c r="Z312" s="1" t="n">
        <f aca="false">X312+Y312</f>
        <v>4527.76</v>
      </c>
      <c r="AA312" s="1" t="n">
        <v>277</v>
      </c>
    </row>
    <row r="313" customFormat="false" ht="13.8" hidden="false" customHeight="false" outlineLevel="0" collapsed="false">
      <c r="B313" s="2" t="s">
        <v>107</v>
      </c>
      <c r="C313" s="3" t="n">
        <v>0.402777777777778</v>
      </c>
      <c r="D313" s="4" t="n">
        <v>44466</v>
      </c>
      <c r="E313" s="1" t="s">
        <v>27</v>
      </c>
      <c r="F313" s="1" t="n">
        <v>6372</v>
      </c>
      <c r="G313" s="1" t="n">
        <v>5</v>
      </c>
      <c r="H313" s="1" t="n">
        <v>5</v>
      </c>
      <c r="J313" s="12" t="n">
        <v>6000</v>
      </c>
      <c r="K313" s="12" t="n">
        <v>3000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 t="n">
        <v>3000</v>
      </c>
      <c r="Y313" s="12" t="n">
        <v>540</v>
      </c>
      <c r="Z313" s="11" t="n">
        <f aca="false">X313+Y313</f>
        <v>3540</v>
      </c>
      <c r="AA313" s="13" t="s">
        <v>31</v>
      </c>
    </row>
    <row r="314" customFormat="false" ht="13.8" hidden="false" customHeight="false" outlineLevel="0" collapsed="false">
      <c r="B314" s="2" t="s">
        <v>108</v>
      </c>
      <c r="C314" s="3" t="n">
        <v>0.95</v>
      </c>
      <c r="D314" s="4" t="n">
        <v>44489</v>
      </c>
      <c r="E314" s="1" t="s">
        <v>27</v>
      </c>
      <c r="F314" s="1" t="n">
        <v>6367</v>
      </c>
      <c r="G314" s="1" t="n">
        <v>2</v>
      </c>
      <c r="H314" s="1" t="n">
        <v>2</v>
      </c>
      <c r="J314" s="1" t="n">
        <v>2400</v>
      </c>
      <c r="K314" s="1" t="n">
        <v>1200</v>
      </c>
      <c r="X314" s="1" t="n">
        <v>1200</v>
      </c>
      <c r="Y314" s="1" t="n">
        <v>216</v>
      </c>
      <c r="Z314" s="11" t="n">
        <f aca="false">X314+Y314</f>
        <v>1416</v>
      </c>
      <c r="AA314" s="1" t="n">
        <v>277</v>
      </c>
    </row>
    <row r="315" customFormat="false" ht="13.8" hidden="false" customHeight="false" outlineLevel="0" collapsed="false">
      <c r="B315" s="2" t="s">
        <v>108</v>
      </c>
      <c r="C315" s="3" t="n">
        <v>0.902777777777778</v>
      </c>
      <c r="D315" s="4" t="n">
        <v>44489</v>
      </c>
      <c r="E315" s="1" t="s">
        <v>27</v>
      </c>
      <c r="F315" s="1" t="n">
        <v>6358</v>
      </c>
      <c r="G315" s="1" t="n">
        <v>2</v>
      </c>
      <c r="H315" s="1" t="n">
        <v>2</v>
      </c>
      <c r="J315" s="1" t="n">
        <v>2400</v>
      </c>
      <c r="K315" s="1" t="n">
        <v>840</v>
      </c>
      <c r="X315" s="1" t="n">
        <v>1560</v>
      </c>
      <c r="Y315" s="1" t="n">
        <f aca="false">140.4+140.4</f>
        <v>280.8</v>
      </c>
      <c r="Z315" s="11" t="n">
        <f aca="false">X315+Y315</f>
        <v>1840.8</v>
      </c>
      <c r="AA315" s="1" t="n">
        <v>340</v>
      </c>
    </row>
    <row r="316" customFormat="false" ht="13.8" hidden="false" customHeight="false" outlineLevel="0" collapsed="false">
      <c r="B316" s="2" t="s">
        <v>108</v>
      </c>
      <c r="C316" s="3" t="n">
        <v>0.625</v>
      </c>
      <c r="D316" s="4" t="n">
        <v>44487</v>
      </c>
      <c r="E316" s="1" t="s">
        <v>27</v>
      </c>
      <c r="F316" s="1" t="n">
        <v>6257</v>
      </c>
      <c r="G316" s="1" t="n">
        <v>2</v>
      </c>
      <c r="H316" s="1" t="n">
        <v>2</v>
      </c>
      <c r="J316" s="1" t="n">
        <f aca="false">K316*2</f>
        <v>1625</v>
      </c>
      <c r="K316" s="1" t="n">
        <v>812.5</v>
      </c>
      <c r="L316" s="1" t="n">
        <v>175</v>
      </c>
      <c r="M316" s="1" t="n">
        <v>35</v>
      </c>
      <c r="X316" s="1" t="n">
        <v>952.5</v>
      </c>
      <c r="Y316" s="1" t="n">
        <f aca="false">85.73+85.73</f>
        <v>171.46</v>
      </c>
      <c r="Z316" s="11" t="n">
        <f aca="false">X316+Y316</f>
        <v>1123.96</v>
      </c>
      <c r="AA316" s="1" t="n">
        <v>277</v>
      </c>
    </row>
    <row r="317" customFormat="false" ht="13.8" hidden="false" customHeight="false" outlineLevel="0" collapsed="false">
      <c r="B317" s="2" t="s">
        <v>108</v>
      </c>
      <c r="C317" s="3" t="n">
        <v>0.857638888888889</v>
      </c>
      <c r="D317" s="4" t="n">
        <v>44486</v>
      </c>
      <c r="E317" s="1" t="s">
        <v>27</v>
      </c>
      <c r="F317" s="1" t="n">
        <v>6230</v>
      </c>
      <c r="G317" s="1" t="n">
        <v>1</v>
      </c>
      <c r="H317" s="1" t="n">
        <v>1</v>
      </c>
      <c r="J317" s="1" t="n">
        <v>550</v>
      </c>
      <c r="K317" s="1" t="n">
        <v>275</v>
      </c>
      <c r="X317" s="1" t="n">
        <v>275</v>
      </c>
      <c r="Y317" s="1" t="n">
        <f aca="false">24.75+24.75</f>
        <v>49.5</v>
      </c>
      <c r="Z317" s="11" t="n">
        <f aca="false">X317+Y317</f>
        <v>324.5</v>
      </c>
      <c r="AA317" s="1" t="n">
        <v>363</v>
      </c>
    </row>
    <row r="318" customFormat="false" ht="13.8" hidden="false" customHeight="false" outlineLevel="0" collapsed="false">
      <c r="B318" s="2" t="s">
        <v>108</v>
      </c>
      <c r="C318" s="3" t="n">
        <v>0.544444444444444</v>
      </c>
      <c r="D318" s="4" t="n">
        <v>44486</v>
      </c>
      <c r="E318" s="1" t="s">
        <v>27</v>
      </c>
      <c r="F318" s="1" t="n">
        <v>6196</v>
      </c>
      <c r="G318" s="1" t="n">
        <v>4</v>
      </c>
      <c r="H318" s="1" t="n">
        <v>4</v>
      </c>
      <c r="J318" s="1" t="n">
        <f aca="false">K318*2</f>
        <v>6296</v>
      </c>
      <c r="K318" s="1" t="n">
        <v>3148</v>
      </c>
      <c r="X318" s="1" t="n">
        <v>4548</v>
      </c>
      <c r="Y318" s="1" t="n">
        <f aca="false">409.32+409.32</f>
        <v>818.64</v>
      </c>
      <c r="Z318" s="11" t="n">
        <f aca="false">X318+Y318</f>
        <v>5366.64</v>
      </c>
      <c r="AA318" s="1" t="n">
        <v>277</v>
      </c>
    </row>
    <row r="319" customFormat="false" ht="13.8" hidden="false" customHeight="false" outlineLevel="0" collapsed="false">
      <c r="B319" s="2" t="s">
        <v>107</v>
      </c>
      <c r="C319" s="3" t="n">
        <v>0.882638888888889</v>
      </c>
      <c r="D319" s="4" t="n">
        <v>44534</v>
      </c>
      <c r="E319" s="1" t="s">
        <v>27</v>
      </c>
      <c r="F319" s="1" t="n">
        <v>6127</v>
      </c>
      <c r="G319" s="1" t="n">
        <v>2</v>
      </c>
      <c r="H319" s="1" t="n">
        <v>2</v>
      </c>
      <c r="J319" s="1" t="n">
        <v>7200</v>
      </c>
      <c r="K319" s="1" t="n">
        <v>3600</v>
      </c>
      <c r="X319" s="1" t="n">
        <v>4650</v>
      </c>
      <c r="Y319" s="1" t="n">
        <f aca="false">418.5+418.5</f>
        <v>837</v>
      </c>
      <c r="Z319" s="1" t="n">
        <f aca="false">X319+Y319</f>
        <v>5487</v>
      </c>
      <c r="AA319" s="1" t="n">
        <v>368</v>
      </c>
    </row>
    <row r="320" customFormat="false" ht="13.8" hidden="false" customHeight="false" outlineLevel="0" collapsed="false">
      <c r="B320" s="2" t="s">
        <v>108</v>
      </c>
      <c r="C320" s="3" t="n">
        <v>0.834027777777778</v>
      </c>
      <c r="D320" s="4" t="n">
        <v>44484</v>
      </c>
      <c r="E320" s="1" t="s">
        <v>27</v>
      </c>
      <c r="F320" s="1" t="n">
        <v>6114</v>
      </c>
      <c r="G320" s="1" t="n">
        <v>2</v>
      </c>
      <c r="H320" s="1" t="n">
        <v>2</v>
      </c>
      <c r="J320" s="1" t="n">
        <f aca="false">K320*2</f>
        <v>875</v>
      </c>
      <c r="K320" s="1" t="n">
        <v>437.5</v>
      </c>
      <c r="X320" s="1" t="n">
        <v>437.5</v>
      </c>
      <c r="Y320" s="1" t="n">
        <f aca="false">39.38+39.38</f>
        <v>78.76</v>
      </c>
      <c r="Z320" s="11" t="n">
        <f aca="false">X320+Y320</f>
        <v>516.26</v>
      </c>
      <c r="AA320" s="1" t="n">
        <v>277</v>
      </c>
    </row>
    <row r="321" customFormat="false" ht="13.8" hidden="false" customHeight="false" outlineLevel="0" collapsed="false">
      <c r="B321" s="2" t="s">
        <v>108</v>
      </c>
      <c r="C321" s="3" t="n">
        <v>0.865277777777778</v>
      </c>
      <c r="D321" s="4" t="n">
        <v>44559</v>
      </c>
      <c r="E321" s="1" t="s">
        <v>27</v>
      </c>
      <c r="F321" s="1" t="n">
        <v>6112</v>
      </c>
      <c r="G321" s="1" t="n">
        <v>6</v>
      </c>
      <c r="H321" s="1" t="n">
        <v>6</v>
      </c>
      <c r="J321" s="1" t="n">
        <v>7200</v>
      </c>
      <c r="K321" s="1" t="n">
        <v>3600</v>
      </c>
      <c r="X321" s="1" t="n">
        <v>3600</v>
      </c>
      <c r="Y321" s="1" t="n">
        <f aca="false">324+324</f>
        <v>648</v>
      </c>
      <c r="Z321" s="1" t="n">
        <f aca="false">X321+Y321</f>
        <v>4248</v>
      </c>
      <c r="AA321" s="1" t="n">
        <v>277</v>
      </c>
    </row>
    <row r="322" customFormat="false" ht="13.8" hidden="false" customHeight="false" outlineLevel="0" collapsed="false">
      <c r="B322" s="2" t="s">
        <v>108</v>
      </c>
      <c r="C322" s="3" t="n">
        <v>0.620833333333333</v>
      </c>
      <c r="D322" s="4" t="n">
        <v>44484</v>
      </c>
      <c r="E322" s="1" t="s">
        <v>27</v>
      </c>
      <c r="F322" s="1" t="n">
        <v>6103</v>
      </c>
      <c r="G322" s="1" t="n">
        <v>3</v>
      </c>
      <c r="H322" s="1" t="n">
        <v>3</v>
      </c>
      <c r="J322" s="1" t="n">
        <v>2499.5</v>
      </c>
      <c r="K322" s="1" t="n">
        <v>1249.75</v>
      </c>
      <c r="X322" s="1" t="n">
        <v>1249.75</v>
      </c>
      <c r="Y322" s="1" t="n">
        <f aca="false">112.48+112.48</f>
        <v>224.96</v>
      </c>
      <c r="Z322" s="11" t="n">
        <f aca="false">X322+Y322</f>
        <v>1474.71</v>
      </c>
      <c r="AA322" s="1" t="n">
        <v>277</v>
      </c>
    </row>
    <row r="323" customFormat="false" ht="13.8" hidden="false" customHeight="false" outlineLevel="0" collapsed="false">
      <c r="B323" s="2" t="s">
        <v>107</v>
      </c>
      <c r="C323" s="3" t="n">
        <v>0.10625</v>
      </c>
      <c r="D323" s="4" t="n">
        <v>44403</v>
      </c>
      <c r="E323" s="1" t="s">
        <v>27</v>
      </c>
      <c r="F323" s="1" t="n">
        <v>6102</v>
      </c>
      <c r="G323" s="1" t="n">
        <v>3</v>
      </c>
      <c r="H323" s="1" t="n">
        <v>3</v>
      </c>
      <c r="J323" s="12" t="n">
        <v>2700</v>
      </c>
      <c r="K323" s="12" t="n">
        <v>1350</v>
      </c>
      <c r="L323" s="12" t="n">
        <v>525</v>
      </c>
      <c r="M323" s="12" t="n">
        <v>262.5</v>
      </c>
      <c r="N323" s="12"/>
      <c r="O323" s="12"/>
      <c r="P323" s="12"/>
      <c r="Q323" s="12"/>
      <c r="R323" s="12"/>
      <c r="S323" s="12"/>
      <c r="T323" s="12"/>
      <c r="U323" s="12"/>
      <c r="V323" s="12"/>
      <c r="W323" s="11"/>
      <c r="X323" s="11" t="n">
        <v>1612.5</v>
      </c>
      <c r="Y323" s="11" t="n">
        <f aca="false">145.13+145.13</f>
        <v>290.26</v>
      </c>
      <c r="Z323" s="11" t="n">
        <f aca="false">X323+Y323</f>
        <v>1902.76</v>
      </c>
      <c r="AA323" s="11" t="n">
        <v>177</v>
      </c>
    </row>
    <row r="324" customFormat="false" ht="13.8" hidden="false" customHeight="false" outlineLevel="0" collapsed="false">
      <c r="B324" s="2" t="s">
        <v>107</v>
      </c>
      <c r="C324" s="3" t="n">
        <v>0.0597222222222222</v>
      </c>
      <c r="D324" s="4" t="n">
        <v>44458</v>
      </c>
      <c r="E324" s="1" t="s">
        <v>27</v>
      </c>
      <c r="F324" s="1" t="n">
        <v>6060</v>
      </c>
      <c r="G324" s="1" t="n">
        <v>2</v>
      </c>
      <c r="H324" s="1" t="n">
        <v>2</v>
      </c>
      <c r="J324" s="12" t="n">
        <v>1499</v>
      </c>
      <c r="K324" s="12" t="n">
        <v>749.5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 t="n">
        <v>749.5</v>
      </c>
      <c r="Y324" s="12" t="n">
        <f aca="false">67.46+67.46</f>
        <v>134.92</v>
      </c>
      <c r="Z324" s="11" t="n">
        <f aca="false">X324+Y324</f>
        <v>884.42</v>
      </c>
      <c r="AA324" s="13" t="s">
        <v>31</v>
      </c>
    </row>
    <row r="325" customFormat="false" ht="13.8" hidden="false" customHeight="false" outlineLevel="0" collapsed="false">
      <c r="B325" s="2" t="s">
        <v>108</v>
      </c>
      <c r="C325" s="3" t="n">
        <v>0.899305555555555</v>
      </c>
      <c r="D325" s="4" t="n">
        <v>44482</v>
      </c>
      <c r="E325" s="1" t="s">
        <v>27</v>
      </c>
      <c r="F325" s="1" t="n">
        <v>6039</v>
      </c>
      <c r="G325" s="1" t="n">
        <v>1</v>
      </c>
      <c r="H325" s="1" t="n">
        <v>1</v>
      </c>
      <c r="J325" s="12" t="n">
        <v>600</v>
      </c>
      <c r="K325" s="12" t="n">
        <v>300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 t="n">
        <v>300</v>
      </c>
      <c r="Y325" s="12" t="n">
        <v>54</v>
      </c>
      <c r="Z325" s="11" t="n">
        <f aca="false">X325+Y325</f>
        <v>354</v>
      </c>
      <c r="AA325" s="13" t="s">
        <v>29</v>
      </c>
    </row>
    <row r="326" customFormat="false" ht="13.8" hidden="false" customHeight="false" outlineLevel="0" collapsed="false">
      <c r="B326" s="2" t="s">
        <v>107</v>
      </c>
      <c r="C326" s="3" t="n">
        <v>0.917361111111111</v>
      </c>
      <c r="D326" s="4" t="n">
        <v>44499</v>
      </c>
      <c r="E326" s="1" t="s">
        <v>30</v>
      </c>
      <c r="F326" s="1" t="n">
        <v>3133</v>
      </c>
      <c r="G326" s="1" t="n">
        <v>2</v>
      </c>
      <c r="H326" s="1" t="n">
        <v>2</v>
      </c>
      <c r="J326" s="1" t="n">
        <f aca="false">K326*5</f>
        <v>1650</v>
      </c>
      <c r="K326" s="1" t="n">
        <v>330</v>
      </c>
      <c r="X326" s="1" t="n">
        <v>1320</v>
      </c>
      <c r="Y326" s="1" t="n">
        <v>264</v>
      </c>
      <c r="Z326" s="11" t="n">
        <f aca="false">X326+Y326</f>
        <v>1584</v>
      </c>
      <c r="AA326" s="1" t="n">
        <v>759</v>
      </c>
    </row>
    <row r="327" customFormat="false" ht="13.8" hidden="false" customHeight="false" outlineLevel="0" collapsed="false">
      <c r="B327" s="2" t="s">
        <v>107</v>
      </c>
      <c r="C327" s="3" t="n">
        <v>0.968055555555556</v>
      </c>
      <c r="D327" s="4" t="n">
        <v>44497</v>
      </c>
      <c r="E327" s="1" t="s">
        <v>30</v>
      </c>
      <c r="F327" s="1" t="n">
        <v>3102</v>
      </c>
      <c r="G327" s="1" t="n">
        <v>2</v>
      </c>
      <c r="H327" s="1" t="n">
        <v>2</v>
      </c>
      <c r="P327" s="1" t="n">
        <v>1050</v>
      </c>
      <c r="Q327" s="1" t="n">
        <v>210</v>
      </c>
      <c r="X327" s="1" t="n">
        <v>840</v>
      </c>
      <c r="Y327" s="1" t="n">
        <v>168</v>
      </c>
      <c r="Z327" s="11" t="n">
        <f aca="false">X327+Y327</f>
        <v>1008</v>
      </c>
      <c r="AA327" s="1" t="n">
        <v>767</v>
      </c>
    </row>
    <row r="328" customFormat="false" ht="13.8" hidden="false" customHeight="false" outlineLevel="0" collapsed="false">
      <c r="B328" s="2" t="s">
        <v>107</v>
      </c>
      <c r="C328" s="3" t="n">
        <v>0.109722222222222</v>
      </c>
      <c r="D328" s="4" t="n">
        <v>44415</v>
      </c>
      <c r="E328" s="1" t="s">
        <v>28</v>
      </c>
      <c r="F328" s="1" t="n">
        <v>2641</v>
      </c>
      <c r="G328" s="1" t="n">
        <v>1</v>
      </c>
      <c r="H328" s="1" t="n">
        <v>1</v>
      </c>
      <c r="J328" s="12" t="n">
        <v>2525</v>
      </c>
      <c r="K328" s="12" t="n">
        <v>505</v>
      </c>
      <c r="L328" s="26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 t="n">
        <v>2195</v>
      </c>
      <c r="Y328" s="12" t="n">
        <f aca="false">197.55+197.55</f>
        <v>395.1</v>
      </c>
      <c r="Z328" s="11" t="n">
        <f aca="false">X328+Y328</f>
        <v>2590.1</v>
      </c>
      <c r="AA328" s="13" t="s">
        <v>33</v>
      </c>
    </row>
    <row r="329" customFormat="false" ht="13.8" hidden="false" customHeight="false" outlineLevel="0" collapsed="false">
      <c r="A329" s="11"/>
      <c r="B329" s="11" t="s">
        <v>108</v>
      </c>
      <c r="C329" s="23" t="n">
        <v>0.223611111111111</v>
      </c>
      <c r="D329" s="24" t="n">
        <v>44353</v>
      </c>
      <c r="E329" s="11" t="s">
        <v>28</v>
      </c>
      <c r="F329" s="11" t="n">
        <v>1904</v>
      </c>
      <c r="G329" s="11" t="n">
        <v>1</v>
      </c>
      <c r="H329" s="11" t="n">
        <v>1</v>
      </c>
      <c r="I329" s="11"/>
      <c r="J329" s="11" t="n">
        <v>475</v>
      </c>
      <c r="K329" s="11" t="n">
        <v>237.5</v>
      </c>
      <c r="L329" s="11"/>
      <c r="M329" s="11"/>
      <c r="N329" s="11"/>
      <c r="O329" s="11"/>
      <c r="P329" s="11"/>
      <c r="Q329" s="11"/>
      <c r="R329" s="11" t="n">
        <v>237.5</v>
      </c>
      <c r="S329" s="11" t="n">
        <v>237.5</v>
      </c>
      <c r="T329" s="11" t="n">
        <v>42.76</v>
      </c>
      <c r="U329" s="11" t="n">
        <v>280.26</v>
      </c>
      <c r="V329" s="11" t="n">
        <v>742</v>
      </c>
      <c r="W329" s="11"/>
      <c r="X329" s="11" t="n">
        <v>237.5</v>
      </c>
      <c r="Y329" s="11" t="n">
        <v>42.76</v>
      </c>
      <c r="Z329" s="11" t="n">
        <v>280.26</v>
      </c>
      <c r="AA329" s="11" t="n">
        <v>742</v>
      </c>
    </row>
    <row r="330" customFormat="false" ht="13.8" hidden="false" customHeight="false" outlineLevel="0" collapsed="false">
      <c r="B330" s="2" t="s">
        <v>107</v>
      </c>
      <c r="C330" s="3" t="n">
        <v>0.296527777777778</v>
      </c>
      <c r="D330" s="4" t="n">
        <v>44379</v>
      </c>
      <c r="E330" s="1" t="s">
        <v>28</v>
      </c>
      <c r="F330" s="1" t="n">
        <v>1718</v>
      </c>
      <c r="G330" s="1" t="n">
        <v>1</v>
      </c>
      <c r="H330" s="1" t="n">
        <v>1</v>
      </c>
      <c r="J330" s="12" t="n">
        <v>450</v>
      </c>
      <c r="K330" s="12" t="n">
        <v>225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1"/>
      <c r="X330" s="11" t="n">
        <v>225</v>
      </c>
      <c r="Y330" s="11" t="n">
        <v>40.5</v>
      </c>
      <c r="Z330" s="11" t="n">
        <f aca="false">X330+Y330</f>
        <v>265.5</v>
      </c>
      <c r="AA330" s="11" t="n">
        <v>277</v>
      </c>
    </row>
    <row r="331" customFormat="false" ht="13.8" hidden="false" customHeight="false" outlineLevel="0" collapsed="false">
      <c r="A331" s="11"/>
      <c r="B331" s="11" t="s">
        <v>109</v>
      </c>
      <c r="C331" s="23" t="n">
        <v>0.386111111111111</v>
      </c>
      <c r="D331" s="24" t="n">
        <v>44367</v>
      </c>
      <c r="E331" s="11" t="s">
        <v>27</v>
      </c>
      <c r="F331" s="11" t="n">
        <v>6389</v>
      </c>
      <c r="G331" s="11" t="n">
        <v>10</v>
      </c>
      <c r="H331" s="11" t="n">
        <v>10</v>
      </c>
      <c r="I331" s="11"/>
      <c r="J331" s="11" t="n">
        <v>9000</v>
      </c>
      <c r="K331" s="11" t="n">
        <v>4500</v>
      </c>
      <c r="L331" s="11"/>
      <c r="M331" s="11"/>
      <c r="N331" s="11"/>
      <c r="O331" s="11"/>
      <c r="P331" s="11"/>
      <c r="Q331" s="11"/>
      <c r="R331" s="11" t="n">
        <v>4500</v>
      </c>
      <c r="S331" s="11" t="n">
        <v>4500</v>
      </c>
      <c r="T331" s="11" t="n">
        <v>810</v>
      </c>
      <c r="U331" s="11" t="n">
        <v>5310</v>
      </c>
      <c r="V331" s="11" t="n">
        <v>742</v>
      </c>
      <c r="W331" s="11"/>
      <c r="X331" s="11" t="n">
        <v>4500</v>
      </c>
      <c r="Y331" s="11" t="n">
        <v>810</v>
      </c>
      <c r="Z331" s="11" t="n">
        <v>5310</v>
      </c>
      <c r="AA331" s="11" t="n">
        <v>742</v>
      </c>
    </row>
    <row r="332" customFormat="false" ht="13.8" hidden="false" customHeight="false" outlineLevel="0" collapsed="false">
      <c r="A332" s="11"/>
      <c r="B332" s="11" t="s">
        <v>110</v>
      </c>
      <c r="C332" s="23" t="n">
        <v>0.377777777777778</v>
      </c>
      <c r="D332" s="24" t="n">
        <v>44374</v>
      </c>
      <c r="E332" s="11" t="s">
        <v>27</v>
      </c>
      <c r="F332" s="11" t="n">
        <v>6566</v>
      </c>
      <c r="G332" s="11" t="n">
        <v>2</v>
      </c>
      <c r="H332" s="11" t="n">
        <v>2</v>
      </c>
      <c r="I332" s="11"/>
      <c r="J332" s="11" t="n">
        <v>2400</v>
      </c>
      <c r="K332" s="11" t="n">
        <v>1200</v>
      </c>
      <c r="L332" s="11"/>
      <c r="M332" s="11"/>
      <c r="N332" s="11"/>
      <c r="O332" s="11"/>
      <c r="P332" s="11"/>
      <c r="Q332" s="11"/>
      <c r="R332" s="11" t="n">
        <v>1200</v>
      </c>
      <c r="S332" s="11" t="n">
        <v>1200</v>
      </c>
      <c r="T332" s="11" t="n">
        <v>216</v>
      </c>
      <c r="U332" s="11" t="n">
        <v>1416</v>
      </c>
      <c r="V332" s="11" t="n">
        <v>177</v>
      </c>
      <c r="W332" s="11"/>
      <c r="X332" s="11" t="n">
        <v>1200</v>
      </c>
      <c r="Y332" s="11" t="n">
        <v>216</v>
      </c>
      <c r="Z332" s="11" t="n">
        <v>1416</v>
      </c>
      <c r="AA332" s="11" t="n">
        <v>177</v>
      </c>
    </row>
    <row r="333" customFormat="false" ht="13.8" hidden="false" customHeight="false" outlineLevel="0" collapsed="false">
      <c r="B333" s="2" t="s">
        <v>111</v>
      </c>
      <c r="C333" s="3" t="s">
        <v>112</v>
      </c>
      <c r="D333" s="4" t="n">
        <v>44379</v>
      </c>
      <c r="E333" s="1" t="s">
        <v>27</v>
      </c>
      <c r="F333" s="1" t="n">
        <v>6641</v>
      </c>
      <c r="G333" s="1" t="n">
        <v>1</v>
      </c>
      <c r="H333" s="1" t="n">
        <v>1</v>
      </c>
      <c r="J333" s="12" t="n">
        <v>1000</v>
      </c>
      <c r="K333" s="12" t="n">
        <v>500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1"/>
      <c r="X333" s="11" t="n">
        <v>500</v>
      </c>
      <c r="Y333" s="11" t="n">
        <v>90</v>
      </c>
      <c r="Z333" s="11" t="n">
        <f aca="false">X333+Y333</f>
        <v>590</v>
      </c>
      <c r="AA333" s="11" t="n">
        <v>740</v>
      </c>
    </row>
    <row r="334" customFormat="false" ht="13.8" hidden="false" customHeight="false" outlineLevel="0" collapsed="false">
      <c r="A334" s="11"/>
      <c r="B334" s="11" t="s">
        <v>113</v>
      </c>
      <c r="C334" s="23" t="n">
        <v>0.354166666666667</v>
      </c>
      <c r="D334" s="24" t="n">
        <v>44355</v>
      </c>
      <c r="E334" s="11" t="s">
        <v>28</v>
      </c>
      <c r="F334" s="11" t="n">
        <v>6092</v>
      </c>
      <c r="G334" s="11" t="n">
        <v>2</v>
      </c>
      <c r="H334" s="11" t="n">
        <v>2</v>
      </c>
      <c r="I334" s="11"/>
      <c r="J334" s="11" t="n">
        <v>2000</v>
      </c>
      <c r="K334" s="11" t="n">
        <v>1000</v>
      </c>
      <c r="L334" s="11"/>
      <c r="M334" s="11"/>
      <c r="N334" s="11"/>
      <c r="O334" s="11"/>
      <c r="P334" s="11"/>
      <c r="Q334" s="11"/>
      <c r="R334" s="11" t="n">
        <v>1000</v>
      </c>
      <c r="S334" s="11" t="n">
        <v>1000</v>
      </c>
      <c r="T334" s="11" t="n">
        <v>180</v>
      </c>
      <c r="U334" s="11" t="n">
        <v>1180</v>
      </c>
      <c r="V334" s="11" t="n">
        <v>742</v>
      </c>
      <c r="W334" s="11"/>
      <c r="X334" s="11" t="n">
        <v>1000</v>
      </c>
      <c r="Y334" s="11" t="n">
        <v>180</v>
      </c>
      <c r="Z334" s="11" t="n">
        <v>1180</v>
      </c>
      <c r="AA334" s="11" t="n">
        <v>742</v>
      </c>
    </row>
    <row r="335" customFormat="false" ht="13.8" hidden="false" customHeight="false" outlineLevel="0" collapsed="false">
      <c r="A335" s="11"/>
      <c r="B335" s="11" t="s">
        <v>114</v>
      </c>
      <c r="C335" s="23" t="n">
        <v>0.136805555555556</v>
      </c>
      <c r="D335" s="27" t="n">
        <v>44739</v>
      </c>
      <c r="E335" s="11" t="s">
        <v>27</v>
      </c>
      <c r="F335" s="11" t="n">
        <v>6547</v>
      </c>
      <c r="G335" s="11" t="n">
        <v>3</v>
      </c>
      <c r="H335" s="11" t="n">
        <v>3</v>
      </c>
      <c r="I335" s="11"/>
      <c r="J335" s="11" t="n">
        <v>5306</v>
      </c>
      <c r="K335" s="11" t="n">
        <v>2248.5</v>
      </c>
      <c r="L335" s="11"/>
      <c r="M335" s="11"/>
      <c r="N335" s="11"/>
      <c r="O335" s="11"/>
      <c r="P335" s="11"/>
      <c r="Q335" s="11"/>
      <c r="R335" s="11" t="n">
        <v>3057.5</v>
      </c>
      <c r="S335" s="11" t="n">
        <v>2248.5</v>
      </c>
      <c r="T335" s="11" t="n">
        <v>404.74</v>
      </c>
      <c r="U335" s="11" t="n">
        <v>2653.24</v>
      </c>
      <c r="V335" s="11" t="n">
        <v>177</v>
      </c>
      <c r="W335" s="11"/>
      <c r="X335" s="11" t="n">
        <v>2248.5</v>
      </c>
      <c r="Y335" s="11" t="n">
        <v>404.74</v>
      </c>
      <c r="Z335" s="11" t="n">
        <v>2653.24</v>
      </c>
      <c r="AA335" s="11" t="n">
        <v>177</v>
      </c>
    </row>
    <row r="336" customFormat="false" ht="13.8" hidden="false" customHeight="false" outlineLevel="0" collapsed="false">
      <c r="B336" s="2" t="s">
        <v>115</v>
      </c>
      <c r="C336" s="3" t="n">
        <v>0.879861111111111</v>
      </c>
      <c r="D336" s="4" t="n">
        <v>44492</v>
      </c>
      <c r="E336" s="1" t="s">
        <v>27</v>
      </c>
      <c r="F336" s="1" t="n">
        <v>6497</v>
      </c>
      <c r="G336" s="1" t="n">
        <v>1</v>
      </c>
      <c r="H336" s="1" t="n">
        <v>1</v>
      </c>
      <c r="J336" s="1" t="n">
        <v>500</v>
      </c>
      <c r="K336" s="1" t="n">
        <v>250</v>
      </c>
      <c r="X336" s="1" t="n">
        <v>250</v>
      </c>
      <c r="Y336" s="1" t="n">
        <f aca="false">22.5+22.5</f>
        <v>45</v>
      </c>
      <c r="Z336" s="11" t="n">
        <f aca="false">X336+Y336</f>
        <v>295</v>
      </c>
      <c r="AA336" s="1" t="n">
        <v>340</v>
      </c>
    </row>
    <row r="337" customFormat="false" ht="13.8" hidden="false" customHeight="false" outlineLevel="0" collapsed="false">
      <c r="B337" s="2" t="s">
        <v>116</v>
      </c>
      <c r="C337" s="3" t="n">
        <v>0.361111111111111</v>
      </c>
      <c r="D337" s="4" t="n">
        <v>44467</v>
      </c>
      <c r="E337" s="1" t="s">
        <v>27</v>
      </c>
      <c r="F337" s="1" t="n">
        <v>6404</v>
      </c>
      <c r="G337" s="1" t="n">
        <v>5</v>
      </c>
      <c r="H337" s="1" t="n">
        <v>5</v>
      </c>
      <c r="J337" s="12" t="n">
        <v>6000</v>
      </c>
      <c r="K337" s="12" t="n">
        <v>3000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 t="n">
        <v>3000</v>
      </c>
      <c r="Y337" s="12" t="n">
        <v>540</v>
      </c>
      <c r="Z337" s="11" t="n">
        <f aca="false">X337+Y337</f>
        <v>3540</v>
      </c>
      <c r="AA337" s="13" t="s">
        <v>40</v>
      </c>
    </row>
    <row r="338" customFormat="false" ht="13.8" hidden="false" customHeight="false" outlineLevel="0" collapsed="false">
      <c r="B338" s="2" t="s">
        <v>117</v>
      </c>
      <c r="C338" s="3" t="n">
        <v>0.598611111111111</v>
      </c>
      <c r="D338" s="4" t="n">
        <v>44481</v>
      </c>
      <c r="E338" s="1" t="s">
        <v>27</v>
      </c>
      <c r="F338" s="1" t="n">
        <v>6978</v>
      </c>
      <c r="G338" s="1" t="n">
        <v>2</v>
      </c>
      <c r="H338" s="1" t="n">
        <v>2</v>
      </c>
      <c r="J338" s="12" t="n">
        <v>1150</v>
      </c>
      <c r="K338" s="12" t="n">
        <v>575</v>
      </c>
      <c r="L338" s="12" t="n">
        <v>175</v>
      </c>
      <c r="M338" s="12" t="n">
        <v>87.5</v>
      </c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 t="n">
        <v>900</v>
      </c>
      <c r="Y338" s="12" t="n">
        <f aca="false">81+81</f>
        <v>162</v>
      </c>
      <c r="Z338" s="11" t="n">
        <f aca="false">X338+Y338</f>
        <v>1062</v>
      </c>
      <c r="AA338" s="13" t="s">
        <v>31</v>
      </c>
    </row>
    <row r="339" customFormat="false" ht="13.8" hidden="false" customHeight="false" outlineLevel="0" collapsed="false">
      <c r="B339" s="2" t="s">
        <v>117</v>
      </c>
      <c r="C339" s="3" t="n">
        <v>0.08125</v>
      </c>
      <c r="D339" s="4" t="n">
        <v>44466</v>
      </c>
      <c r="E339" s="1" t="s">
        <v>27</v>
      </c>
      <c r="F339" s="1" t="n">
        <v>6355</v>
      </c>
      <c r="G339" s="1" t="n">
        <v>2</v>
      </c>
      <c r="H339" s="1" t="n">
        <v>2</v>
      </c>
      <c r="J339" s="12" t="n">
        <v>825</v>
      </c>
      <c r="K339" s="12" t="n">
        <v>412.5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 t="n">
        <v>412.5</v>
      </c>
      <c r="Y339" s="12" t="n">
        <f aca="false">37.13+37.13</f>
        <v>74.26</v>
      </c>
      <c r="Z339" s="11" t="n">
        <f aca="false">X339+Y339</f>
        <v>486.76</v>
      </c>
      <c r="AA339" s="13" t="s">
        <v>31</v>
      </c>
    </row>
    <row r="340" customFormat="false" ht="13.8" hidden="false" customHeight="false" outlineLevel="0" collapsed="false">
      <c r="Z340" s="1" t="n">
        <f aca="false">X340+Y340</f>
        <v>0</v>
      </c>
    </row>
    <row r="341" customFormat="false" ht="13.8" hidden="false" customHeight="false" outlineLevel="0" collapsed="false">
      <c r="Z341" s="1" t="n">
        <f aca="false">X341+Y341</f>
        <v>0</v>
      </c>
    </row>
    <row r="342" customFormat="false" ht="13.8" hidden="false" customHeight="false" outlineLevel="0" collapsed="false">
      <c r="Z342" s="1" t="n">
        <f aca="false">X342+Y342</f>
        <v>0</v>
      </c>
    </row>
    <row r="343" customFormat="false" ht="13.8" hidden="false" customHeight="false" outlineLevel="0" collapsed="false">
      <c r="Z343" s="1" t="n">
        <f aca="false">X343+Y343</f>
        <v>0</v>
      </c>
    </row>
    <row r="344" customFormat="false" ht="13.8" hidden="false" customHeight="false" outlineLevel="0" collapsed="false">
      <c r="Z344" s="1" t="n">
        <f aca="false">X344+Y344</f>
        <v>0</v>
      </c>
    </row>
    <row r="345" customFormat="false" ht="13.8" hidden="false" customHeight="false" outlineLevel="0" collapsed="false">
      <c r="Z345" s="1" t="n">
        <f aca="false">X345+Y345</f>
        <v>0</v>
      </c>
    </row>
    <row r="346" customFormat="false" ht="13.8" hidden="false" customHeight="false" outlineLevel="0" collapsed="false">
      <c r="Z346" s="1" t="n">
        <f aca="false">X346+Y346</f>
        <v>0</v>
      </c>
    </row>
    <row r="347" customFormat="false" ht="13.8" hidden="false" customHeight="false" outlineLevel="0" collapsed="false">
      <c r="Z347" s="1" t="n">
        <f aca="false">X347+Y347</f>
        <v>0</v>
      </c>
    </row>
    <row r="348" customFormat="false" ht="13.8" hidden="false" customHeight="false" outlineLevel="0" collapsed="false">
      <c r="Z348" s="1" t="n">
        <f aca="false">X348+Y348</f>
        <v>0</v>
      </c>
    </row>
    <row r="349" customFormat="false" ht="13.8" hidden="false" customHeight="false" outlineLevel="0" collapsed="false">
      <c r="Z349" s="1" t="n">
        <f aca="false">X349+Y349</f>
        <v>0</v>
      </c>
    </row>
    <row r="350" customFormat="false" ht="13.8" hidden="false" customHeight="false" outlineLevel="0" collapsed="false">
      <c r="Z350" s="1" t="n">
        <f aca="false">X350+Y350</f>
        <v>0</v>
      </c>
    </row>
    <row r="351" customFormat="false" ht="13.8" hidden="false" customHeight="false" outlineLevel="0" collapsed="false">
      <c r="Z351" s="1" t="n">
        <f aca="false">X351+Y351</f>
        <v>0</v>
      </c>
    </row>
    <row r="352" customFormat="false" ht="13.8" hidden="false" customHeight="false" outlineLevel="0" collapsed="false">
      <c r="Z352" s="1" t="n">
        <f aca="false">X352+Y352</f>
        <v>0</v>
      </c>
    </row>
    <row r="353" customFormat="false" ht="13.8" hidden="false" customHeight="false" outlineLevel="0" collapsed="false">
      <c r="Z353" s="1" t="n">
        <f aca="false">X353+Y353</f>
        <v>0</v>
      </c>
    </row>
    <row r="354" customFormat="false" ht="13.8" hidden="false" customHeight="false" outlineLevel="0" collapsed="false">
      <c r="Z354" s="1" t="n">
        <f aca="false">X354+Y354</f>
        <v>0</v>
      </c>
    </row>
    <row r="355" customFormat="false" ht="13.8" hidden="false" customHeight="false" outlineLevel="0" collapsed="false">
      <c r="Z355" s="1" t="n">
        <f aca="false">X355+Y355</f>
        <v>0</v>
      </c>
    </row>
    <row r="356" customFormat="false" ht="13.8" hidden="false" customHeight="false" outlineLevel="0" collapsed="false">
      <c r="Z356" s="1" t="n">
        <f aca="false">X356+Y356</f>
        <v>0</v>
      </c>
    </row>
    <row r="357" customFormat="false" ht="13.8" hidden="false" customHeight="false" outlineLevel="0" collapsed="false">
      <c r="Z357" s="1" t="n">
        <f aca="false">X357+Y357</f>
        <v>0</v>
      </c>
    </row>
    <row r="358" customFormat="false" ht="13.8" hidden="false" customHeight="false" outlineLevel="0" collapsed="false">
      <c r="Z358" s="1" t="n">
        <f aca="false">X358+Y358</f>
        <v>0</v>
      </c>
    </row>
    <row r="359" customFormat="false" ht="13.8" hidden="false" customHeight="false" outlineLevel="0" collapsed="false">
      <c r="Z359" s="1" t="n">
        <f aca="false">X359+Y359</f>
        <v>0</v>
      </c>
    </row>
    <row r="360" customFormat="false" ht="13.8" hidden="false" customHeight="false" outlineLevel="0" collapsed="false">
      <c r="Z360" s="1" t="n">
        <f aca="false">X360+Y360</f>
        <v>0</v>
      </c>
    </row>
    <row r="361" customFormat="false" ht="13.8" hidden="false" customHeight="false" outlineLevel="0" collapsed="false">
      <c r="Z361" s="1" t="n">
        <f aca="false">X361+Y361</f>
        <v>0</v>
      </c>
    </row>
    <row r="362" customFormat="false" ht="13.8" hidden="false" customHeight="false" outlineLevel="0" collapsed="false">
      <c r="Z362" s="1" t="n">
        <f aca="false">X362+Y362</f>
        <v>0</v>
      </c>
    </row>
    <row r="363" customFormat="false" ht="13.8" hidden="false" customHeight="false" outlineLevel="0" collapsed="false">
      <c r="Z363" s="1" t="n">
        <f aca="false">X363+Y363</f>
        <v>0</v>
      </c>
    </row>
    <row r="364" customFormat="false" ht="13.8" hidden="false" customHeight="false" outlineLevel="0" collapsed="false">
      <c r="Z364" s="1" t="n">
        <f aca="false">X364+Y364</f>
        <v>0</v>
      </c>
    </row>
    <row r="365" customFormat="false" ht="13.8" hidden="false" customHeight="false" outlineLevel="0" collapsed="false">
      <c r="Z365" s="1" t="n">
        <f aca="false">X365+Y365</f>
        <v>0</v>
      </c>
    </row>
    <row r="366" customFormat="false" ht="13.8" hidden="false" customHeight="false" outlineLevel="0" collapsed="false">
      <c r="Z366" s="1" t="n">
        <f aca="false">X366+Y366</f>
        <v>0</v>
      </c>
    </row>
    <row r="367" customFormat="false" ht="13.8" hidden="false" customHeight="false" outlineLevel="0" collapsed="false">
      <c r="Z367" s="1" t="n">
        <f aca="false">X367+Y367</f>
        <v>0</v>
      </c>
    </row>
    <row r="368" customFormat="false" ht="13.8" hidden="false" customHeight="false" outlineLevel="0" collapsed="false">
      <c r="Z368" s="1" t="n">
        <f aca="false">X368+Y368</f>
        <v>0</v>
      </c>
    </row>
    <row r="369" customFormat="false" ht="13.8" hidden="false" customHeight="false" outlineLevel="0" collapsed="false">
      <c r="Z369" s="1" t="n">
        <f aca="false">X369+Y369</f>
        <v>0</v>
      </c>
    </row>
    <row r="370" customFormat="false" ht="13.8" hidden="false" customHeight="false" outlineLevel="0" collapsed="false">
      <c r="Z370" s="1" t="n">
        <f aca="false">X370+Y370</f>
        <v>0</v>
      </c>
    </row>
    <row r="371" customFormat="false" ht="13.8" hidden="false" customHeight="false" outlineLevel="0" collapsed="false">
      <c r="Z371" s="1" t="n">
        <f aca="false">X371+Y371</f>
        <v>0</v>
      </c>
    </row>
    <row r="372" customFormat="false" ht="13.8" hidden="false" customHeight="false" outlineLevel="0" collapsed="false">
      <c r="Z372" s="1" t="n">
        <f aca="false">X372+Y372</f>
        <v>0</v>
      </c>
    </row>
    <row r="373" customFormat="false" ht="13.8" hidden="false" customHeight="false" outlineLevel="0" collapsed="false">
      <c r="Z373" s="1" t="n">
        <f aca="false">X373+Y373</f>
        <v>0</v>
      </c>
    </row>
    <row r="374" customFormat="false" ht="13.8" hidden="false" customHeight="false" outlineLevel="0" collapsed="false">
      <c r="Z374" s="1" t="n">
        <f aca="false">X374+Y374</f>
        <v>0</v>
      </c>
    </row>
    <row r="375" customFormat="false" ht="13.8" hidden="false" customHeight="false" outlineLevel="0" collapsed="false">
      <c r="Z375" s="1" t="n">
        <f aca="false">X375+Y375</f>
        <v>0</v>
      </c>
    </row>
    <row r="376" customFormat="false" ht="13.8" hidden="false" customHeight="false" outlineLevel="0" collapsed="false">
      <c r="Z376" s="1" t="n">
        <f aca="false">X376+Y376</f>
        <v>0</v>
      </c>
    </row>
    <row r="377" customFormat="false" ht="13.8" hidden="false" customHeight="false" outlineLevel="0" collapsed="false">
      <c r="Z377" s="1" t="n">
        <f aca="false">X377+Y377</f>
        <v>0</v>
      </c>
    </row>
    <row r="378" customFormat="false" ht="13.8" hidden="false" customHeight="false" outlineLevel="0" collapsed="false">
      <c r="Z378" s="1" t="n">
        <f aca="false">X378+Y378</f>
        <v>0</v>
      </c>
    </row>
    <row r="379" customFormat="false" ht="13.8" hidden="false" customHeight="false" outlineLevel="0" collapsed="false">
      <c r="Z379" s="1" t="n">
        <f aca="false">X379+Y379</f>
        <v>0</v>
      </c>
    </row>
    <row r="380" customFormat="false" ht="13.8" hidden="false" customHeight="false" outlineLevel="0" collapsed="false">
      <c r="Z380" s="1" t="n">
        <f aca="false">X380+Y380</f>
        <v>0</v>
      </c>
    </row>
    <row r="381" customFormat="false" ht="13.8" hidden="false" customHeight="false" outlineLevel="0" collapsed="false">
      <c r="Z381" s="1" t="n">
        <f aca="false">X381+Y381</f>
        <v>0</v>
      </c>
    </row>
    <row r="382" customFormat="false" ht="13.8" hidden="false" customHeight="false" outlineLevel="0" collapsed="false">
      <c r="Z382" s="1" t="n">
        <f aca="false">X382+Y382</f>
        <v>0</v>
      </c>
    </row>
    <row r="383" customFormat="false" ht="13.8" hidden="false" customHeight="false" outlineLevel="0" collapsed="false">
      <c r="Z383" s="1" t="n">
        <f aca="false">X383+Y383</f>
        <v>0</v>
      </c>
    </row>
    <row r="384" customFormat="false" ht="13.8" hidden="false" customHeight="false" outlineLevel="0" collapsed="false">
      <c r="Z384" s="1" t="n">
        <f aca="false">X384+Y384</f>
        <v>0</v>
      </c>
    </row>
    <row r="385" customFormat="false" ht="13.8" hidden="false" customHeight="false" outlineLevel="0" collapsed="false">
      <c r="Z385" s="1" t="n">
        <f aca="false">X385+Y385</f>
        <v>0</v>
      </c>
    </row>
    <row r="386" customFormat="false" ht="13.8" hidden="false" customHeight="false" outlineLevel="0" collapsed="false">
      <c r="Z386" s="1" t="n">
        <f aca="false">X386+Y386</f>
        <v>0</v>
      </c>
    </row>
    <row r="387" customFormat="false" ht="13.8" hidden="false" customHeight="false" outlineLevel="0" collapsed="false">
      <c r="Z387" s="1" t="n">
        <f aca="false">X387+Y387</f>
        <v>0</v>
      </c>
    </row>
    <row r="388" customFormat="false" ht="13.8" hidden="false" customHeight="false" outlineLevel="0" collapsed="false">
      <c r="Z388" s="1" t="n">
        <f aca="false">X388+Y388</f>
        <v>0</v>
      </c>
    </row>
    <row r="389" customFormat="false" ht="13.8" hidden="false" customHeight="false" outlineLevel="0" collapsed="false">
      <c r="Z389" s="1" t="n">
        <f aca="false">X389+Y389</f>
        <v>0</v>
      </c>
    </row>
    <row r="390" customFormat="false" ht="13.8" hidden="false" customHeight="false" outlineLevel="0" collapsed="false">
      <c r="Z390" s="1" t="n">
        <f aca="false">X390+Y390</f>
        <v>0</v>
      </c>
    </row>
    <row r="391" customFormat="false" ht="13.8" hidden="false" customHeight="false" outlineLevel="0" collapsed="false">
      <c r="Z391" s="1" t="n">
        <f aca="false">X391+Y391</f>
        <v>0</v>
      </c>
    </row>
    <row r="392" customFormat="false" ht="13.8" hidden="false" customHeight="false" outlineLevel="0" collapsed="false">
      <c r="Z392" s="1" t="n">
        <f aca="false">X392+Y392</f>
        <v>0</v>
      </c>
    </row>
    <row r="393" customFormat="false" ht="13.8" hidden="false" customHeight="false" outlineLevel="0" collapsed="false">
      <c r="Z393" s="1" t="n">
        <f aca="false">X393+Y393</f>
        <v>0</v>
      </c>
    </row>
    <row r="394" customFormat="false" ht="13.8" hidden="false" customHeight="false" outlineLevel="0" collapsed="false">
      <c r="Z394" s="1" t="n">
        <f aca="false">X394+Y394</f>
        <v>0</v>
      </c>
    </row>
    <row r="395" customFormat="false" ht="13.8" hidden="false" customHeight="false" outlineLevel="0" collapsed="false">
      <c r="Z395" s="1" t="n">
        <f aca="false">X395+Y395</f>
        <v>0</v>
      </c>
    </row>
    <row r="396" customFormat="false" ht="13.8" hidden="false" customHeight="false" outlineLevel="0" collapsed="false">
      <c r="Z396" s="1" t="n">
        <f aca="false">X396+Y396</f>
        <v>0</v>
      </c>
    </row>
    <row r="397" customFormat="false" ht="13.8" hidden="false" customHeight="false" outlineLevel="0" collapsed="false">
      <c r="Z397" s="1" t="n">
        <f aca="false">X397+Y397</f>
        <v>0</v>
      </c>
    </row>
    <row r="398" customFormat="false" ht="13.8" hidden="false" customHeight="false" outlineLevel="0" collapsed="false">
      <c r="Z398" s="1" t="n">
        <f aca="false">X398+Y398</f>
        <v>0</v>
      </c>
    </row>
    <row r="399" customFormat="false" ht="13.8" hidden="false" customHeight="false" outlineLevel="0" collapsed="false">
      <c r="Z399" s="1" t="n">
        <f aca="false">X399+Y399</f>
        <v>0</v>
      </c>
    </row>
    <row r="400" customFormat="false" ht="13.8" hidden="false" customHeight="false" outlineLevel="0" collapsed="false">
      <c r="Z400" s="1" t="n">
        <f aca="false">X400+Y400</f>
        <v>0</v>
      </c>
    </row>
    <row r="401" customFormat="false" ht="13.8" hidden="false" customHeight="false" outlineLevel="0" collapsed="false">
      <c r="Z401" s="1" t="n">
        <f aca="false">X401+Y401</f>
        <v>0</v>
      </c>
    </row>
    <row r="402" customFormat="false" ht="13.8" hidden="false" customHeight="false" outlineLevel="0" collapsed="false">
      <c r="Z402" s="1" t="n">
        <f aca="false">X402+Y402</f>
        <v>0</v>
      </c>
    </row>
    <row r="403" customFormat="false" ht="13.8" hidden="false" customHeight="false" outlineLevel="0" collapsed="false">
      <c r="Z403" s="1" t="n">
        <f aca="false">X403+Y403</f>
        <v>0</v>
      </c>
    </row>
    <row r="404" customFormat="false" ht="13.8" hidden="false" customHeight="false" outlineLevel="0" collapsed="false">
      <c r="Z404" s="1" t="n">
        <f aca="false">X404+Y404</f>
        <v>0</v>
      </c>
    </row>
    <row r="405" customFormat="false" ht="13.8" hidden="false" customHeight="false" outlineLevel="0" collapsed="false">
      <c r="Z405" s="1" t="n">
        <f aca="false">X405+Y405</f>
        <v>0</v>
      </c>
    </row>
    <row r="406" customFormat="false" ht="13.8" hidden="false" customHeight="false" outlineLevel="0" collapsed="false">
      <c r="Z406" s="1" t="n">
        <f aca="false">X406+Y406</f>
        <v>0</v>
      </c>
    </row>
    <row r="407" customFormat="false" ht="13.8" hidden="false" customHeight="false" outlineLevel="0" collapsed="false">
      <c r="Z407" s="1" t="n">
        <f aca="false">X407+Y407</f>
        <v>0</v>
      </c>
    </row>
    <row r="408" customFormat="false" ht="13.8" hidden="false" customHeight="false" outlineLevel="0" collapsed="false">
      <c r="Z408" s="1" t="n">
        <f aca="false">X408+Y408</f>
        <v>0</v>
      </c>
    </row>
    <row r="409" customFormat="false" ht="13.8" hidden="false" customHeight="false" outlineLevel="0" collapsed="false">
      <c r="Z409" s="1" t="n">
        <f aca="false">X409+Y409</f>
        <v>0</v>
      </c>
    </row>
    <row r="410" customFormat="false" ht="13.8" hidden="false" customHeight="false" outlineLevel="0" collapsed="false">
      <c r="Z410" s="1" t="n">
        <f aca="false">X410+Y410</f>
        <v>0</v>
      </c>
    </row>
    <row r="411" customFormat="false" ht="13.8" hidden="false" customHeight="false" outlineLevel="0" collapsed="false">
      <c r="Z411" s="1" t="n">
        <f aca="false">X411+Y411</f>
        <v>0</v>
      </c>
    </row>
    <row r="412" customFormat="false" ht="13.8" hidden="false" customHeight="false" outlineLevel="0" collapsed="false">
      <c r="Z412" s="1" t="n">
        <f aca="false">X412+Y412</f>
        <v>0</v>
      </c>
    </row>
    <row r="413" customFormat="false" ht="13.8" hidden="false" customHeight="false" outlineLevel="0" collapsed="false">
      <c r="Z413" s="1" t="n">
        <f aca="false">X413+Y413</f>
        <v>0</v>
      </c>
    </row>
    <row r="414" customFormat="false" ht="13.8" hidden="false" customHeight="false" outlineLevel="0" collapsed="false">
      <c r="Z414" s="1" t="n">
        <f aca="false">X414+Y414</f>
        <v>0</v>
      </c>
    </row>
    <row r="415" customFormat="false" ht="13.8" hidden="false" customHeight="false" outlineLevel="0" collapsed="false">
      <c r="Z415" s="1" t="n">
        <f aca="false">X415+Y415</f>
        <v>0</v>
      </c>
    </row>
    <row r="416" customFormat="false" ht="13.8" hidden="false" customHeight="false" outlineLevel="0" collapsed="false">
      <c r="Z416" s="1" t="n">
        <f aca="false">X416+Y416</f>
        <v>0</v>
      </c>
    </row>
    <row r="417" customFormat="false" ht="13.8" hidden="false" customHeight="false" outlineLevel="0" collapsed="false">
      <c r="Z417" s="1" t="n">
        <f aca="false">X417+Y417</f>
        <v>0</v>
      </c>
    </row>
    <row r="418" customFormat="false" ht="13.8" hidden="false" customHeight="false" outlineLevel="0" collapsed="false">
      <c r="Z418" s="1" t="n">
        <f aca="false">X418+Y418</f>
        <v>0</v>
      </c>
    </row>
    <row r="419" customFormat="false" ht="13.8" hidden="false" customHeight="false" outlineLevel="0" collapsed="false">
      <c r="Z419" s="1" t="n">
        <f aca="false">X419+Y419</f>
        <v>0</v>
      </c>
    </row>
    <row r="420" customFormat="false" ht="13.8" hidden="false" customHeight="false" outlineLevel="0" collapsed="false">
      <c r="Z420" s="1" t="n">
        <f aca="false">X420+Y420</f>
        <v>0</v>
      </c>
    </row>
  </sheetData>
  <autoFilter ref="A1:AB420">
    <sortState ref="A2:AB420">
      <sortCondition ref="B2:B420" customList=""/>
    </sortState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2022-03-03T09:26:32Z</dcterms:created>
  <dc:creator>Admin</dc:creator>
  <dc:description/>
  <dc:language>en-IN</dc:language>
  <cp:lastModifiedBy/>
  <dcterms:modified xsi:type="dcterms:W3CDTF">2022-05-02T13:45:12Z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