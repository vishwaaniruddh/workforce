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Dhwani Patel\Desktop\"/>
    </mc:Choice>
  </mc:AlternateContent>
  <xr:revisionPtr revIDLastSave="0" documentId="13_ncr:1_{C2F3D471-C205-4EC3-90AC-9A1DC8BAB6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b 2022 " sheetId="2" r:id="rId1"/>
  </sheets>
  <definedNames>
    <definedName name="_xlnm._FilterDatabase" localSheetId="0" hidden="1">'Feb 2022 '!$A$1:$AB$394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39" i="2" l="1"/>
  <c r="P339" i="2"/>
  <c r="Y338" i="2"/>
  <c r="Z338" i="2" s="1"/>
  <c r="Y337" i="2"/>
  <c r="Z337" i="2" s="1"/>
  <c r="J337" i="2"/>
  <c r="Y336" i="2"/>
  <c r="O336" i="2"/>
  <c r="Y335" i="2"/>
  <c r="Z335" i="2" s="1"/>
  <c r="J335" i="2"/>
  <c r="O334" i="2"/>
  <c r="J333" i="2"/>
  <c r="Y332" i="2"/>
  <c r="Y330" i="2"/>
  <c r="Z330" i="2" s="1"/>
  <c r="Y329" i="2"/>
  <c r="J329" i="2"/>
  <c r="Y328" i="2"/>
  <c r="J328" i="2"/>
  <c r="Y327" i="2"/>
  <c r="Z327" i="2" s="1"/>
  <c r="J327" i="2"/>
  <c r="Y326" i="2"/>
  <c r="Y325" i="2"/>
  <c r="Y324" i="2"/>
  <c r="Y322" i="2"/>
  <c r="Z322" i="2" s="1"/>
  <c r="Y321" i="2"/>
  <c r="Z321" i="2" s="1"/>
  <c r="O321" i="2"/>
  <c r="Y318" i="2"/>
  <c r="J318" i="2"/>
  <c r="Y317" i="2"/>
  <c r="Z317" i="2" s="1"/>
  <c r="Y315" i="2"/>
  <c r="Y314" i="2"/>
  <c r="Z314" i="2" s="1"/>
  <c r="Y313" i="2"/>
  <c r="Z313" i="2" s="1"/>
  <c r="Y312" i="2"/>
  <c r="Y311" i="2"/>
  <c r="J311" i="2"/>
  <c r="Y310" i="2"/>
  <c r="Z310" i="2" s="1"/>
  <c r="J310" i="2"/>
  <c r="Y309" i="2"/>
  <c r="L309" i="2"/>
  <c r="Y308" i="2"/>
  <c r="Z308" i="2" s="1"/>
  <c r="O307" i="2"/>
  <c r="Y306" i="2"/>
  <c r="Z306" i="2" s="1"/>
  <c r="Y305" i="2"/>
  <c r="Z305" i="2" s="1"/>
  <c r="Y304" i="2"/>
  <c r="J304" i="2"/>
  <c r="Y303" i="2"/>
  <c r="Y301" i="2"/>
  <c r="Z301" i="2" s="1"/>
  <c r="Y300" i="2"/>
  <c r="Z300" i="2" s="1"/>
  <c r="J300" i="2"/>
  <c r="Y299" i="2"/>
  <c r="Y298" i="2"/>
  <c r="Z298" i="2" s="1"/>
  <c r="Y297" i="2"/>
  <c r="Z297" i="2" s="1"/>
  <c r="Y296" i="2"/>
  <c r="Z296" i="2" s="1"/>
  <c r="J296" i="2"/>
  <c r="Y294" i="2"/>
  <c r="Y293" i="2"/>
  <c r="Z293" i="2" s="1"/>
  <c r="Y292" i="2"/>
  <c r="Z292" i="2" s="1"/>
  <c r="Y291" i="2"/>
  <c r="Z291" i="2" s="1"/>
  <c r="Y290" i="2"/>
  <c r="Y289" i="2"/>
  <c r="Z289" i="2" s="1"/>
  <c r="Y288" i="2"/>
  <c r="Z288" i="2" s="1"/>
  <c r="J288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6" i="2"/>
  <c r="Z334" i="2"/>
  <c r="Z333" i="2"/>
  <c r="Z332" i="2"/>
  <c r="Z331" i="2"/>
  <c r="Z329" i="2"/>
  <c r="Z328" i="2"/>
  <c r="Z326" i="2"/>
  <c r="Z325" i="2"/>
  <c r="Z324" i="2"/>
  <c r="Z323" i="2"/>
  <c r="Z320" i="2"/>
  <c r="Z319" i="2"/>
  <c r="Z318" i="2"/>
  <c r="Z316" i="2"/>
  <c r="Z315" i="2"/>
  <c r="Z312" i="2"/>
  <c r="Z311" i="2"/>
  <c r="Z309" i="2"/>
  <c r="Z307" i="2"/>
  <c r="Z304" i="2"/>
  <c r="Z303" i="2"/>
  <c r="Z302" i="2"/>
  <c r="Z299" i="2"/>
  <c r="Z295" i="2"/>
  <c r="Z294" i="2"/>
  <c r="Z290" i="2"/>
  <c r="Z287" i="2"/>
  <c r="Y287" i="2"/>
  <c r="Y286" i="2"/>
  <c r="Z286" i="2" s="1"/>
  <c r="J286" i="2"/>
  <c r="Y285" i="2"/>
  <c r="Z285" i="2" s="1"/>
  <c r="Y284" i="2"/>
  <c r="Z284" i="2" s="1"/>
  <c r="J284" i="2"/>
  <c r="O282" i="2"/>
  <c r="Y280" i="2"/>
  <c r="Z280" i="2" s="1"/>
  <c r="Y279" i="2"/>
  <c r="Y276" i="2"/>
  <c r="J276" i="2"/>
  <c r="Y275" i="2"/>
  <c r="Z275" i="2" s="1"/>
  <c r="Y274" i="2"/>
  <c r="Z274" i="2" s="1"/>
  <c r="J274" i="2"/>
  <c r="Y273" i="2"/>
  <c r="Z273" i="2" s="1"/>
  <c r="Y272" i="2"/>
  <c r="Z272" i="2" s="1"/>
  <c r="Y271" i="2"/>
  <c r="Z271" i="2" s="1"/>
  <c r="Y270" i="2"/>
  <c r="Z270" i="2" s="1"/>
  <c r="O266" i="2"/>
  <c r="Y265" i="2"/>
  <c r="Z265" i="2" s="1"/>
  <c r="Y264" i="2"/>
  <c r="Z264" i="2" s="1"/>
  <c r="Y263" i="2"/>
  <c r="Z263" i="2" s="1"/>
  <c r="Y262" i="2"/>
  <c r="Z262" i="2" s="1"/>
  <c r="J262" i="2"/>
  <c r="Y261" i="2"/>
  <c r="Y260" i="2"/>
  <c r="J257" i="2"/>
  <c r="Y256" i="2"/>
  <c r="Z256" i="2" s="1"/>
  <c r="Y252" i="2"/>
  <c r="Z252" i="2" s="1"/>
  <c r="Y249" i="2"/>
  <c r="Z249" i="2" s="1"/>
  <c r="Y248" i="2"/>
  <c r="Z248" i="2" s="1"/>
  <c r="J248" i="2"/>
  <c r="Y247" i="2"/>
  <c r="Z247" i="2" s="1"/>
  <c r="Y245" i="2"/>
  <c r="Z245" i="2" s="1"/>
  <c r="O243" i="2"/>
  <c r="P243" i="2"/>
  <c r="Y241" i="2"/>
  <c r="Y240" i="2"/>
  <c r="Y239" i="2"/>
  <c r="Y238" i="2"/>
  <c r="Y236" i="2"/>
  <c r="Y235" i="2"/>
  <c r="Z235" i="2" s="1"/>
  <c r="Y234" i="2"/>
  <c r="Z234" i="2" s="1"/>
  <c r="Y232" i="2"/>
  <c r="J232" i="2"/>
  <c r="Y229" i="2"/>
  <c r="Z229" i="2" s="1"/>
  <c r="Y228" i="2"/>
  <c r="Z228" i="2" s="1"/>
  <c r="Z283" i="2"/>
  <c r="Z282" i="2"/>
  <c r="Z281" i="2"/>
  <c r="Z279" i="2"/>
  <c r="Z278" i="2"/>
  <c r="Z277" i="2"/>
  <c r="Z276" i="2"/>
  <c r="Z269" i="2"/>
  <c r="Z268" i="2"/>
  <c r="Z267" i="2"/>
  <c r="Z266" i="2"/>
  <c r="Z261" i="2"/>
  <c r="Z260" i="2"/>
  <c r="Z259" i="2"/>
  <c r="Z258" i="2"/>
  <c r="Z257" i="2"/>
  <c r="Z255" i="2"/>
  <c r="Z254" i="2"/>
  <c r="Z253" i="2"/>
  <c r="Z251" i="2"/>
  <c r="Z250" i="2"/>
  <c r="Z246" i="2"/>
  <c r="Z244" i="2"/>
  <c r="Z243" i="2"/>
  <c r="Z242" i="2"/>
  <c r="Z241" i="2"/>
  <c r="Z240" i="2"/>
  <c r="Z239" i="2"/>
  <c r="Z238" i="2"/>
  <c r="Z237" i="2"/>
  <c r="Z236" i="2"/>
  <c r="Z233" i="2"/>
  <c r="Z232" i="2"/>
  <c r="Z231" i="2"/>
  <c r="Z230" i="2"/>
  <c r="Z227" i="2"/>
  <c r="Z226" i="2"/>
  <c r="Y224" i="2"/>
  <c r="Y222" i="2"/>
  <c r="Z222" i="2" s="1"/>
  <c r="J222" i="2"/>
  <c r="Y220" i="2"/>
  <c r="Z220" i="2" s="1"/>
  <c r="Y218" i="2"/>
  <c r="Z218" i="2" s="1"/>
  <c r="Y217" i="2"/>
  <c r="Z217" i="2" s="1"/>
  <c r="J217" i="2"/>
  <c r="Y215" i="2"/>
  <c r="Z215" i="2" s="1"/>
  <c r="Y214" i="2"/>
  <c r="Z214" i="2" s="1"/>
  <c r="Y213" i="2"/>
  <c r="Z213" i="2" s="1"/>
  <c r="Y212" i="2"/>
  <c r="Z212" i="2" s="1"/>
  <c r="Y210" i="2"/>
  <c r="Y209" i="2"/>
  <c r="Z209" i="2" s="1"/>
  <c r="Y207" i="2"/>
  <c r="Y206" i="2"/>
  <c r="Y205" i="2"/>
  <c r="P204" i="2"/>
  <c r="Y203" i="2"/>
  <c r="Y202" i="2"/>
  <c r="Y201" i="2"/>
  <c r="Y199" i="2"/>
  <c r="Z199" i="2" s="1"/>
  <c r="Y198" i="2"/>
  <c r="Z198" i="2" s="1"/>
  <c r="Y197" i="2"/>
  <c r="Z197" i="2" s="1"/>
  <c r="Z225" i="2"/>
  <c r="Z224" i="2"/>
  <c r="Z223" i="2"/>
  <c r="Z221" i="2"/>
  <c r="Z219" i="2"/>
  <c r="Z216" i="2"/>
  <c r="Z211" i="2"/>
  <c r="Z210" i="2"/>
  <c r="Z208" i="2"/>
  <c r="Z207" i="2"/>
  <c r="Z206" i="2"/>
  <c r="Z205" i="2"/>
  <c r="Z204" i="2"/>
  <c r="Z203" i="2"/>
  <c r="Z202" i="2"/>
  <c r="Z201" i="2"/>
  <c r="Y194" i="2"/>
  <c r="Z194" i="2" s="1"/>
  <c r="P192" i="2"/>
  <c r="Y191" i="2"/>
  <c r="Z191" i="2" s="1"/>
  <c r="J191" i="2"/>
  <c r="Y189" i="2"/>
  <c r="Z189" i="2" s="1"/>
  <c r="Y188" i="2"/>
  <c r="Z188" i="2" s="1"/>
  <c r="Y186" i="2"/>
  <c r="Y184" i="2"/>
  <c r="Z184" i="2" s="1"/>
  <c r="Y182" i="2"/>
  <c r="Z182" i="2" s="1"/>
  <c r="Y181" i="2"/>
  <c r="Z181" i="2" s="1"/>
  <c r="Y180" i="2"/>
  <c r="Z180" i="2" s="1"/>
  <c r="Y178" i="2"/>
  <c r="Z178" i="2" s="1"/>
  <c r="L178" i="2"/>
  <c r="J178" i="2"/>
  <c r="Y177" i="2"/>
  <c r="Z177" i="2" s="1"/>
  <c r="Y175" i="2"/>
  <c r="Z175" i="2" s="1"/>
  <c r="Y174" i="2"/>
  <c r="Z174" i="2" s="1"/>
  <c r="J174" i="2"/>
  <c r="Y173" i="2"/>
  <c r="Z173" i="2" s="1"/>
  <c r="Y172" i="2"/>
  <c r="Z172" i="2" s="1"/>
  <c r="J172" i="2"/>
  <c r="Y168" i="2"/>
  <c r="Z168" i="2" s="1"/>
  <c r="Y167" i="2"/>
  <c r="Z167" i="2" s="1"/>
  <c r="Y166" i="2"/>
  <c r="Z166" i="2" s="1"/>
  <c r="Y165" i="2"/>
  <c r="Z165" i="2" s="1"/>
  <c r="Y162" i="2"/>
  <c r="Z162" i="2" s="1"/>
  <c r="Y161" i="2"/>
  <c r="Z161" i="2" s="1"/>
  <c r="Y159" i="2"/>
  <c r="Z159" i="2" s="1"/>
  <c r="Z200" i="2"/>
  <c r="Z196" i="2"/>
  <c r="Z195" i="2"/>
  <c r="Z193" i="2"/>
  <c r="Z192" i="2"/>
  <c r="Z190" i="2"/>
  <c r="Z187" i="2"/>
  <c r="Z186" i="2"/>
  <c r="Z185" i="2"/>
  <c r="Z183" i="2"/>
  <c r="Z179" i="2"/>
  <c r="Z176" i="2"/>
  <c r="Z171" i="2"/>
  <c r="Z170" i="2"/>
  <c r="Z169" i="2"/>
  <c r="Z164" i="2"/>
  <c r="Z163" i="2"/>
  <c r="Z160" i="2"/>
  <c r="Y157" i="2"/>
  <c r="Y156" i="2"/>
  <c r="Y154" i="2"/>
  <c r="Z154" i="2" s="1"/>
  <c r="J153" i="2"/>
  <c r="Y151" i="2"/>
  <c r="Z151" i="2" s="1"/>
  <c r="Y150" i="2"/>
  <c r="Y147" i="2"/>
  <c r="Y146" i="2"/>
  <c r="J146" i="2"/>
  <c r="Y145" i="2"/>
  <c r="Z145" i="2" s="1"/>
  <c r="Y144" i="2"/>
  <c r="Z144" i="2" s="1"/>
  <c r="Y143" i="2"/>
  <c r="Z143" i="2" s="1"/>
  <c r="Y142" i="2"/>
  <c r="Z142" i="2"/>
  <c r="Y141" i="2"/>
  <c r="Z141" i="2" s="1"/>
  <c r="Y140" i="2"/>
  <c r="Z140" i="2" s="1"/>
  <c r="Y139" i="2"/>
  <c r="Y137" i="2"/>
  <c r="Z137" i="2" s="1"/>
  <c r="Y136" i="2"/>
  <c r="Z136" i="2" s="1"/>
  <c r="Y135" i="2"/>
  <c r="Z135" i="2" s="1"/>
  <c r="Y132" i="2"/>
  <c r="Z132" i="2" s="1"/>
  <c r="J132" i="2"/>
  <c r="Z129" i="2"/>
  <c r="Z158" i="2"/>
  <c r="Z157" i="2"/>
  <c r="Z156" i="2"/>
  <c r="Z155" i="2"/>
  <c r="Z153" i="2"/>
  <c r="Z152" i="2"/>
  <c r="Z150" i="2"/>
  <c r="Z149" i="2"/>
  <c r="Z148" i="2"/>
  <c r="Z147" i="2"/>
  <c r="Z146" i="2"/>
  <c r="Z139" i="2"/>
  <c r="Z138" i="2"/>
  <c r="Z134" i="2"/>
  <c r="Z133" i="2"/>
  <c r="Z131" i="2"/>
  <c r="Z130" i="2"/>
  <c r="Y131" i="2"/>
  <c r="Y130" i="2"/>
  <c r="J130" i="2"/>
  <c r="Y129" i="2"/>
  <c r="J129" i="2"/>
  <c r="Y128" i="2"/>
  <c r="Z128" i="2" s="1"/>
  <c r="Y126" i="2"/>
  <c r="Z126" i="2" s="1"/>
  <c r="Y125" i="2"/>
  <c r="Z125" i="2" s="1"/>
  <c r="J125" i="2"/>
  <c r="Y124" i="2"/>
  <c r="Z124" i="2" s="1"/>
  <c r="Y123" i="2"/>
  <c r="Z123" i="2" s="1"/>
  <c r="J123" i="2"/>
  <c r="Y122" i="2"/>
  <c r="Z122" i="2" s="1"/>
  <c r="J122" i="2"/>
  <c r="Y120" i="2"/>
  <c r="Z120" i="2" s="1"/>
  <c r="Y119" i="2"/>
  <c r="Y118" i="2"/>
  <c r="Z118" i="2" s="1"/>
  <c r="Y116" i="2"/>
  <c r="Z116" i="2" s="1"/>
  <c r="Y115" i="2"/>
  <c r="Z115" i="2" s="1"/>
  <c r="Y114" i="2"/>
  <c r="Z114" i="2" s="1"/>
  <c r="Y113" i="2"/>
  <c r="Z113" i="2" s="1"/>
  <c r="Y112" i="2"/>
  <c r="Z112" i="2" s="1"/>
  <c r="Y111" i="2"/>
  <c r="Z111" i="2" s="1"/>
  <c r="Y108" i="2"/>
  <c r="Y107" i="2"/>
  <c r="Y106" i="2"/>
  <c r="Z105" i="2"/>
  <c r="Y103" i="2"/>
  <c r="Z103" i="2" s="1"/>
  <c r="Y102" i="2"/>
  <c r="Z102" i="2" s="1"/>
  <c r="J102" i="2"/>
  <c r="Y99" i="2"/>
  <c r="Z99" i="2" s="1"/>
  <c r="J99" i="2"/>
  <c r="Y97" i="2"/>
  <c r="Z97" i="2" s="1"/>
  <c r="L97" i="2"/>
  <c r="J97" i="2"/>
  <c r="Y96" i="2"/>
  <c r="Y95" i="2"/>
  <c r="Y94" i="2"/>
  <c r="Z94" i="2" s="1"/>
  <c r="J94" i="2"/>
  <c r="Y93" i="2"/>
  <c r="Z93" i="2" s="1"/>
  <c r="Y91" i="2"/>
  <c r="Z91" i="2" s="1"/>
  <c r="J91" i="2"/>
  <c r="Z127" i="2"/>
  <c r="Z121" i="2"/>
  <c r="Z119" i="2"/>
  <c r="Z117" i="2"/>
  <c r="Z110" i="2"/>
  <c r="Z109" i="2"/>
  <c r="Z108" i="2"/>
  <c r="Z107" i="2"/>
  <c r="Z106" i="2"/>
  <c r="Z104" i="2"/>
  <c r="Z101" i="2"/>
  <c r="Z100" i="2"/>
  <c r="Z98" i="2"/>
  <c r="Z96" i="2"/>
  <c r="Z95" i="2"/>
  <c r="Z92" i="2"/>
  <c r="Z90" i="2"/>
  <c r="Z89" i="2"/>
  <c r="Y89" i="2"/>
  <c r="Y87" i="2"/>
  <c r="Z87" i="2" s="1"/>
  <c r="Y86" i="2"/>
  <c r="Z86" i="2"/>
  <c r="Y85" i="2"/>
  <c r="Z85" i="2" s="1"/>
  <c r="Y84" i="2"/>
  <c r="J84" i="2"/>
  <c r="Y83" i="2"/>
  <c r="Z83" i="2" s="1"/>
  <c r="Y82" i="2"/>
  <c r="Z82" i="2" s="1"/>
  <c r="Y81" i="2"/>
  <c r="Z81" i="2" s="1"/>
  <c r="J81" i="2"/>
  <c r="Y80" i="2"/>
  <c r="Z80" i="2" s="1"/>
  <c r="Y79" i="2"/>
  <c r="Z79" i="2" s="1"/>
  <c r="J79" i="2"/>
  <c r="Y78" i="2"/>
  <c r="Z78" i="2" s="1"/>
  <c r="Y77" i="2"/>
  <c r="Y75" i="2"/>
  <c r="Z75" i="2" s="1"/>
  <c r="Y73" i="2"/>
  <c r="Z73" i="2" s="1"/>
  <c r="J73" i="2"/>
  <c r="Y72" i="2"/>
  <c r="Z72" i="2" s="1"/>
  <c r="J72" i="2"/>
  <c r="Y68" i="2"/>
  <c r="Z68" i="2" s="1"/>
  <c r="Y66" i="2"/>
  <c r="Z66" i="2" s="1"/>
  <c r="Y65" i="2"/>
  <c r="Z65" i="2" s="1"/>
  <c r="Y63" i="2"/>
  <c r="Z88" i="2"/>
  <c r="Z84" i="2"/>
  <c r="Z77" i="2"/>
  <c r="Z76" i="2"/>
  <c r="Z74" i="2"/>
  <c r="Z71" i="2"/>
  <c r="Z70" i="2"/>
  <c r="Z69" i="2"/>
  <c r="Z67" i="2"/>
  <c r="Z64" i="2"/>
  <c r="Z63" i="2"/>
  <c r="Z62" i="2"/>
  <c r="Y62" i="2"/>
  <c r="Y60" i="2"/>
  <c r="Z60" i="2" s="1"/>
  <c r="J60" i="2"/>
  <c r="Y59" i="2"/>
  <c r="Z59" i="2" s="1"/>
  <c r="Y58" i="2"/>
  <c r="Z58" i="2" s="1"/>
  <c r="Y57" i="2"/>
  <c r="Z57" i="2" s="1"/>
  <c r="Y53" i="2"/>
  <c r="Y51" i="2"/>
  <c r="Z51" i="2" s="1"/>
  <c r="Y50" i="2"/>
  <c r="Z50" i="2" s="1"/>
  <c r="Y47" i="2"/>
  <c r="Z47" i="2" s="1"/>
  <c r="Y46" i="2"/>
  <c r="Z46" i="2" s="1"/>
  <c r="Y45" i="2"/>
  <c r="Z45" i="2" s="1"/>
  <c r="Y44" i="2"/>
  <c r="Z44" i="2" s="1"/>
  <c r="J44" i="2"/>
  <c r="Y43" i="2"/>
  <c r="Z43" i="2" s="1"/>
  <c r="Y42" i="2"/>
  <c r="Z42" i="2" s="1"/>
  <c r="Y41" i="2"/>
  <c r="Z41" i="2" s="1"/>
  <c r="Y39" i="2"/>
  <c r="Z39" i="2" s="1"/>
  <c r="Y38" i="2"/>
  <c r="Z38" i="2" s="1"/>
  <c r="Y37" i="2"/>
  <c r="Z37" i="2" s="1"/>
  <c r="Y36" i="2"/>
  <c r="Z36" i="2" s="1"/>
  <c r="Y35" i="2"/>
  <c r="Z35" i="2" s="1"/>
  <c r="Z61" i="2"/>
  <c r="Z56" i="2"/>
  <c r="Z55" i="2"/>
  <c r="Z54" i="2"/>
  <c r="Z53" i="2"/>
  <c r="Z52" i="2"/>
  <c r="Z49" i="2"/>
  <c r="Z48" i="2"/>
  <c r="Z40" i="2"/>
  <c r="Z34" i="2"/>
  <c r="Y34" i="2"/>
  <c r="Y32" i="2"/>
  <c r="Z32" i="2" s="1"/>
  <c r="Y31" i="2"/>
  <c r="Z31" i="2" s="1"/>
  <c r="Y30" i="2"/>
  <c r="Z30" i="2" s="1"/>
  <c r="Y29" i="2"/>
  <c r="Z29" i="2" s="1"/>
  <c r="Y28" i="2"/>
  <c r="Z28" i="2" s="1"/>
  <c r="Y27" i="2"/>
  <c r="Z27" i="2" s="1"/>
  <c r="Y26" i="2"/>
  <c r="Z26" i="2" s="1"/>
  <c r="Y25" i="2"/>
  <c r="Z25" i="2" s="1"/>
  <c r="Y23" i="2"/>
  <c r="Z23" i="2" s="1"/>
  <c r="Y22" i="2"/>
  <c r="Z22" i="2" s="1"/>
  <c r="Y19" i="2"/>
  <c r="Z19" i="2" s="1"/>
  <c r="Y17" i="2"/>
  <c r="Z17" i="2" s="1"/>
  <c r="Y16" i="2"/>
  <c r="Z16" i="2" s="1"/>
  <c r="Y14" i="2"/>
  <c r="Z14" i="2" s="1"/>
  <c r="Y13" i="2"/>
  <c r="Z13" i="2" s="1"/>
  <c r="Z33" i="2"/>
  <c r="Z24" i="2"/>
  <c r="Z21" i="2"/>
  <c r="Z20" i="2"/>
  <c r="Z18" i="2"/>
  <c r="Z15" i="2"/>
  <c r="Z12" i="2"/>
  <c r="Z11" i="2"/>
</calcChain>
</file>

<file path=xl/sharedStrings.xml><?xml version="1.0" encoding="utf-8"?>
<sst xmlns="http://schemas.openxmlformats.org/spreadsheetml/2006/main" count="593" uniqueCount="118">
  <si>
    <t>City</t>
  </si>
  <si>
    <t>Ref Number (Card Number) or Certificate Number</t>
  </si>
  <si>
    <t>Time</t>
  </si>
  <si>
    <t>Date</t>
  </si>
  <si>
    <t>Rev Centre (POS Code)</t>
  </si>
  <si>
    <t>Check No</t>
  </si>
  <si>
    <t>No of Pax</t>
  </si>
  <si>
    <t>No of pax close</t>
  </si>
  <si>
    <t>Tender Media Number</t>
  </si>
  <si>
    <t>Food Amt</t>
  </si>
  <si>
    <t>Food Disc Amt</t>
  </si>
  <si>
    <t>Soft Bev Amt</t>
  </si>
  <si>
    <t>Soft Bev Disc Amt</t>
  </si>
  <si>
    <t>Indian Liq Amt</t>
  </si>
  <si>
    <t>Indian Liq Disc Amt</t>
  </si>
  <si>
    <t>Imp Liq Amt</t>
  </si>
  <si>
    <t>Imp Liq Disc Amt</t>
  </si>
  <si>
    <t>Tobacco Amt</t>
  </si>
  <si>
    <t xml:space="preserve">Tobacco Disc Amt </t>
  </si>
  <si>
    <t>Misc. Amt</t>
  </si>
  <si>
    <t xml:space="preserve">Misc. Disc Amt </t>
  </si>
  <si>
    <t>Tips</t>
  </si>
  <si>
    <t>Service Charge</t>
  </si>
  <si>
    <t>Nett Amount</t>
  </si>
  <si>
    <t>Total Tax Collected</t>
  </si>
  <si>
    <t>Gross Total</t>
  </si>
  <si>
    <t>Cashier Number</t>
  </si>
  <si>
    <t>Discover</t>
  </si>
  <si>
    <t>Discover-vcqexd</t>
  </si>
  <si>
    <t>10060403-Club marroitt</t>
  </si>
  <si>
    <t>ird</t>
  </si>
  <si>
    <t>Asian</t>
  </si>
  <si>
    <t>100249748-club marriott</t>
  </si>
  <si>
    <t>1010053-Discover</t>
  </si>
  <si>
    <t>Discover-Fclkfj</t>
  </si>
  <si>
    <t>discover-hsuzr</t>
  </si>
  <si>
    <t>discover-wditgf</t>
  </si>
  <si>
    <t>Discover-resytw</t>
  </si>
  <si>
    <t>10:15</t>
  </si>
  <si>
    <t>discover</t>
  </si>
  <si>
    <t>dicover</t>
  </si>
  <si>
    <t>08-:41</t>
  </si>
  <si>
    <t>14156471/14000008017</t>
  </si>
  <si>
    <t>disciver</t>
  </si>
  <si>
    <t>12045851-varada</t>
  </si>
  <si>
    <t>12567831/12000004014</t>
  </si>
  <si>
    <t>758</t>
  </si>
  <si>
    <t>312</t>
  </si>
  <si>
    <t>759</t>
  </si>
  <si>
    <t>14783641/1400038017</t>
  </si>
  <si>
    <t>740</t>
  </si>
  <si>
    <t>14937331/14000024017</t>
  </si>
  <si>
    <t>188</t>
  </si>
  <si>
    <t>14520691/14000049017</t>
  </si>
  <si>
    <t>277</t>
  </si>
  <si>
    <t>tripplers</t>
  </si>
  <si>
    <t>14719981-Phadke</t>
  </si>
  <si>
    <t>12776371/12000034014</t>
  </si>
  <si>
    <t>12766491/</t>
  </si>
  <si>
    <t>359</t>
  </si>
  <si>
    <t>12415391</t>
  </si>
  <si>
    <t>14723211/1400003018</t>
  </si>
  <si>
    <t>12141221</t>
  </si>
  <si>
    <t>14116841/14000041018</t>
  </si>
  <si>
    <t>14116841/14000041017</t>
  </si>
  <si>
    <t>794</t>
  </si>
  <si>
    <t>club four point</t>
  </si>
  <si>
    <t>disvo</t>
  </si>
  <si>
    <t>discver</t>
  </si>
  <si>
    <t>363</t>
  </si>
  <si>
    <t>571</t>
  </si>
  <si>
    <t>12271231/12000024014</t>
  </si>
  <si>
    <t>12271231/12000024015</t>
  </si>
  <si>
    <t>12160831/12000069015</t>
  </si>
  <si>
    <t>12685951</t>
  </si>
  <si>
    <t>352</t>
  </si>
  <si>
    <t>12986211</t>
  </si>
  <si>
    <t>12522381/12000048014</t>
  </si>
  <si>
    <t>14691721+14000055020</t>
  </si>
  <si>
    <t>14844991/14000004017</t>
  </si>
  <si>
    <t>12813361/12000087014</t>
  </si>
  <si>
    <t>Dicover</t>
  </si>
  <si>
    <t>Discver</t>
  </si>
  <si>
    <t>12375191/12000047014</t>
  </si>
  <si>
    <t>14750151/14000077018</t>
  </si>
  <si>
    <t>14679991/14000067012</t>
  </si>
  <si>
    <t>14641641/14000001019</t>
  </si>
  <si>
    <t>12443791/12000093014</t>
  </si>
  <si>
    <t>12391051/12000055017</t>
  </si>
  <si>
    <t>12745781/12000058017</t>
  </si>
  <si>
    <t>12158391/12000074015</t>
  </si>
  <si>
    <t>12153821/12000050014</t>
  </si>
  <si>
    <t>12337241/12000052016</t>
  </si>
  <si>
    <t>12620641/12000059014</t>
  </si>
  <si>
    <t>14411021/14000005020</t>
  </si>
  <si>
    <t>12177981/12000042017</t>
  </si>
  <si>
    <t>14986761/14000087020</t>
  </si>
  <si>
    <t>14323221/14000010017</t>
  </si>
  <si>
    <t>14691721/14000055017</t>
  </si>
  <si>
    <t>12762701/12000092015</t>
  </si>
  <si>
    <t>12762701/12000092014</t>
  </si>
  <si>
    <t>12738501/12000102017</t>
  </si>
  <si>
    <t>12628551/12000109014</t>
  </si>
  <si>
    <t>14577491/14000118017</t>
  </si>
  <si>
    <t>12738501/12000102015</t>
  </si>
  <si>
    <t>12564331/12000051014</t>
  </si>
  <si>
    <t>21;48</t>
  </si>
  <si>
    <t>14302911/14000060020</t>
  </si>
  <si>
    <t>14658341/1400044017</t>
  </si>
  <si>
    <t>14723211/1400000319</t>
  </si>
  <si>
    <t>14707201/14000061018</t>
  </si>
  <si>
    <t>14691721/14000055019</t>
  </si>
  <si>
    <t>14302911/14000060019</t>
  </si>
  <si>
    <t>12373891/12000020014</t>
  </si>
  <si>
    <t>14745131/14000129018</t>
  </si>
  <si>
    <t>14802361/14000063020</t>
  </si>
  <si>
    <t>14783641/14000038018</t>
  </si>
  <si>
    <t>20;58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</si>
</sst>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15" fontId="4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20" fontId="1" fillId="0" borderId="1" xfId="0" applyNumberFormat="1" applyFont="1" applyBorder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0"/>
  <sheetViews>
    <sheetView tabSelected="1" zoomScaleNormal="100" workbookViewId="0">
      <pane ySplit="1" topLeftCell="A331" activePane="bottomLeft" state="frozen"/>
      <selection pane="bottomLeft" activeCell="K341" sqref="K341"/>
    </sheetView>
  </sheetViews>
  <sheetFormatPr defaultRowHeight="15" x14ac:dyDescent="0.25"/>
  <cols>
    <col min="1" max="1" width="9" style="5" bestFit="1" customWidth="1"/>
    <col min="2" max="2" width="24.85546875" style="6" customWidth="1"/>
    <col min="3" max="3" width="11.28515625" style="17" customWidth="1"/>
    <col min="4" max="4" width="10.85546875" style="11" bestFit="1" customWidth="1"/>
    <col min="5" max="5" width="13" style="5" customWidth="1"/>
    <col min="6" max="6" width="11.42578125" style="5" bestFit="1" customWidth="1"/>
    <col min="7" max="7" width="5.7109375" style="5" bestFit="1" customWidth="1"/>
    <col min="8" max="8" width="6" style="5" bestFit="1" customWidth="1"/>
    <col min="9" max="9" width="8.140625" style="5" customWidth="1"/>
    <col min="10" max="10" width="9.7109375" style="5" bestFit="1" customWidth="1"/>
    <col min="11" max="11" width="9.5703125" style="5" bestFit="1" customWidth="1"/>
    <col min="12" max="12" width="8.5703125" style="5" customWidth="1"/>
    <col min="13" max="13" width="8.85546875" style="5" customWidth="1"/>
    <col min="14" max="14" width="8" style="5" customWidth="1"/>
    <col min="15" max="15" width="8.140625" style="5" customWidth="1"/>
    <col min="16" max="16" width="9.7109375" style="5" customWidth="1"/>
    <col min="17" max="17" width="8.85546875" style="5" customWidth="1"/>
    <col min="18" max="18" width="8.7109375" style="5" hidden="1" customWidth="1"/>
    <col min="19" max="19" width="8.85546875" style="5" hidden="1" customWidth="1"/>
    <col min="20" max="20" width="5.5703125" style="5" hidden="1" customWidth="1"/>
    <col min="21" max="21" width="8.85546875" style="5" hidden="1" customWidth="1"/>
    <col min="22" max="22" width="4.7109375" style="5" hidden="1" customWidth="1"/>
    <col min="23" max="23" width="7.85546875" style="5" bestFit="1" customWidth="1"/>
    <col min="24" max="24" width="9" style="5" bestFit="1" customWidth="1"/>
    <col min="25" max="25" width="9.5703125" style="5" bestFit="1" customWidth="1"/>
    <col min="26" max="26" width="8.5703125" style="5" bestFit="1" customWidth="1"/>
    <col min="27" max="27" width="9.5703125" style="5" bestFit="1" customWidth="1"/>
    <col min="28" max="256" width="9.140625" style="5"/>
    <col min="257" max="257" width="9" style="5" bestFit="1" customWidth="1"/>
    <col min="258" max="258" width="15.7109375" style="5" bestFit="1" customWidth="1"/>
    <col min="259" max="259" width="5.5703125" style="5" bestFit="1" customWidth="1"/>
    <col min="260" max="260" width="10.85546875" style="5" bestFit="1" customWidth="1"/>
    <col min="261" max="261" width="7.28515625" style="5" customWidth="1"/>
    <col min="262" max="262" width="11.42578125" style="5" bestFit="1" customWidth="1"/>
    <col min="263" max="263" width="5.7109375" style="5" bestFit="1" customWidth="1"/>
    <col min="264" max="264" width="6" style="5" bestFit="1" customWidth="1"/>
    <col min="265" max="265" width="8.140625" style="5" customWidth="1"/>
    <col min="266" max="266" width="9.7109375" style="5" bestFit="1" customWidth="1"/>
    <col min="267" max="267" width="8.85546875" style="5" bestFit="1" customWidth="1"/>
    <col min="268" max="268" width="8.5703125" style="5" customWidth="1"/>
    <col min="269" max="269" width="8.85546875" style="5" customWidth="1"/>
    <col min="270" max="270" width="8" style="5" customWidth="1"/>
    <col min="271" max="271" width="8.140625" style="5" customWidth="1"/>
    <col min="272" max="272" width="8" style="5" customWidth="1"/>
    <col min="273" max="273" width="8.85546875" style="5" customWidth="1"/>
    <col min="274" max="278" width="0" style="5" hidden="1" customWidth="1"/>
    <col min="279" max="279" width="7.85546875" style="5" bestFit="1" customWidth="1"/>
    <col min="280" max="280" width="9" style="5" bestFit="1" customWidth="1"/>
    <col min="281" max="281" width="9.5703125" style="5" bestFit="1" customWidth="1"/>
    <col min="282" max="282" width="8.5703125" style="5" bestFit="1" customWidth="1"/>
    <col min="283" max="283" width="9.5703125" style="5" bestFit="1" customWidth="1"/>
    <col min="284" max="512" width="9.140625" style="5"/>
    <col min="513" max="513" width="9" style="5" bestFit="1" customWidth="1"/>
    <col min="514" max="514" width="15.7109375" style="5" bestFit="1" customWidth="1"/>
    <col min="515" max="515" width="5.5703125" style="5" bestFit="1" customWidth="1"/>
    <col min="516" max="516" width="10.85546875" style="5" bestFit="1" customWidth="1"/>
    <col min="517" max="517" width="7.28515625" style="5" customWidth="1"/>
    <col min="518" max="518" width="11.42578125" style="5" bestFit="1" customWidth="1"/>
    <col min="519" max="519" width="5.7109375" style="5" bestFit="1" customWidth="1"/>
    <col min="520" max="520" width="6" style="5" bestFit="1" customWidth="1"/>
    <col min="521" max="521" width="8.140625" style="5" customWidth="1"/>
    <col min="522" max="522" width="9.7109375" style="5" bestFit="1" customWidth="1"/>
    <col min="523" max="523" width="8.85546875" style="5" bestFit="1" customWidth="1"/>
    <col min="524" max="524" width="8.5703125" style="5" customWidth="1"/>
    <col min="525" max="525" width="8.85546875" style="5" customWidth="1"/>
    <col min="526" max="526" width="8" style="5" customWidth="1"/>
    <col min="527" max="527" width="8.140625" style="5" customWidth="1"/>
    <col min="528" max="528" width="8" style="5" customWidth="1"/>
    <col min="529" max="529" width="8.85546875" style="5" customWidth="1"/>
    <col min="530" max="534" width="0" style="5" hidden="1" customWidth="1"/>
    <col min="535" max="535" width="7.85546875" style="5" bestFit="1" customWidth="1"/>
    <col min="536" max="536" width="9" style="5" bestFit="1" customWidth="1"/>
    <col min="537" max="537" width="9.5703125" style="5" bestFit="1" customWidth="1"/>
    <col min="538" max="538" width="8.5703125" style="5" bestFit="1" customWidth="1"/>
    <col min="539" max="539" width="9.5703125" style="5" bestFit="1" customWidth="1"/>
    <col min="540" max="768" width="9.140625" style="5"/>
    <col min="769" max="769" width="9" style="5" bestFit="1" customWidth="1"/>
    <col min="770" max="770" width="15.7109375" style="5" bestFit="1" customWidth="1"/>
    <col min="771" max="771" width="5.5703125" style="5" bestFit="1" customWidth="1"/>
    <col min="772" max="772" width="10.85546875" style="5" bestFit="1" customWidth="1"/>
    <col min="773" max="773" width="7.28515625" style="5" customWidth="1"/>
    <col min="774" max="774" width="11.42578125" style="5" bestFit="1" customWidth="1"/>
    <col min="775" max="775" width="5.7109375" style="5" bestFit="1" customWidth="1"/>
    <col min="776" max="776" width="6" style="5" bestFit="1" customWidth="1"/>
    <col min="777" max="777" width="8.140625" style="5" customWidth="1"/>
    <col min="778" max="778" width="9.7109375" style="5" bestFit="1" customWidth="1"/>
    <col min="779" max="779" width="8.85546875" style="5" bestFit="1" customWidth="1"/>
    <col min="780" max="780" width="8.5703125" style="5" customWidth="1"/>
    <col min="781" max="781" width="8.85546875" style="5" customWidth="1"/>
    <col min="782" max="782" width="8" style="5" customWidth="1"/>
    <col min="783" max="783" width="8.140625" style="5" customWidth="1"/>
    <col min="784" max="784" width="8" style="5" customWidth="1"/>
    <col min="785" max="785" width="8.85546875" style="5" customWidth="1"/>
    <col min="786" max="790" width="0" style="5" hidden="1" customWidth="1"/>
    <col min="791" max="791" width="7.85546875" style="5" bestFit="1" customWidth="1"/>
    <col min="792" max="792" width="9" style="5" bestFit="1" customWidth="1"/>
    <col min="793" max="793" width="9.5703125" style="5" bestFit="1" customWidth="1"/>
    <col min="794" max="794" width="8.5703125" style="5" bestFit="1" customWidth="1"/>
    <col min="795" max="795" width="9.5703125" style="5" bestFit="1" customWidth="1"/>
    <col min="796" max="1024" width="9.140625" style="5"/>
    <col min="1025" max="1025" width="9" style="5" bestFit="1" customWidth="1"/>
    <col min="1026" max="1026" width="15.7109375" style="5" bestFit="1" customWidth="1"/>
    <col min="1027" max="1027" width="5.5703125" style="5" bestFit="1" customWidth="1"/>
    <col min="1028" max="1028" width="10.85546875" style="5" bestFit="1" customWidth="1"/>
    <col min="1029" max="1029" width="7.28515625" style="5" customWidth="1"/>
    <col min="1030" max="1030" width="11.42578125" style="5" bestFit="1" customWidth="1"/>
    <col min="1031" max="1031" width="5.7109375" style="5" bestFit="1" customWidth="1"/>
    <col min="1032" max="1032" width="6" style="5" bestFit="1" customWidth="1"/>
    <col min="1033" max="1033" width="8.140625" style="5" customWidth="1"/>
    <col min="1034" max="1034" width="9.7109375" style="5" bestFit="1" customWidth="1"/>
    <col min="1035" max="1035" width="8.85546875" style="5" bestFit="1" customWidth="1"/>
    <col min="1036" max="1036" width="8.5703125" style="5" customWidth="1"/>
    <col min="1037" max="1037" width="8.85546875" style="5" customWidth="1"/>
    <col min="1038" max="1038" width="8" style="5" customWidth="1"/>
    <col min="1039" max="1039" width="8.140625" style="5" customWidth="1"/>
    <col min="1040" max="1040" width="8" style="5" customWidth="1"/>
    <col min="1041" max="1041" width="8.85546875" style="5" customWidth="1"/>
    <col min="1042" max="1046" width="0" style="5" hidden="1" customWidth="1"/>
    <col min="1047" max="1047" width="7.85546875" style="5" bestFit="1" customWidth="1"/>
    <col min="1048" max="1048" width="9" style="5" bestFit="1" customWidth="1"/>
    <col min="1049" max="1049" width="9.5703125" style="5" bestFit="1" customWidth="1"/>
    <col min="1050" max="1050" width="8.5703125" style="5" bestFit="1" customWidth="1"/>
    <col min="1051" max="1051" width="9.5703125" style="5" bestFit="1" customWidth="1"/>
    <col min="1052" max="1280" width="9.140625" style="5"/>
    <col min="1281" max="1281" width="9" style="5" bestFit="1" customWidth="1"/>
    <col min="1282" max="1282" width="15.7109375" style="5" bestFit="1" customWidth="1"/>
    <col min="1283" max="1283" width="5.5703125" style="5" bestFit="1" customWidth="1"/>
    <col min="1284" max="1284" width="10.85546875" style="5" bestFit="1" customWidth="1"/>
    <col min="1285" max="1285" width="7.28515625" style="5" customWidth="1"/>
    <col min="1286" max="1286" width="11.42578125" style="5" bestFit="1" customWidth="1"/>
    <col min="1287" max="1287" width="5.7109375" style="5" bestFit="1" customWidth="1"/>
    <col min="1288" max="1288" width="6" style="5" bestFit="1" customWidth="1"/>
    <col min="1289" max="1289" width="8.140625" style="5" customWidth="1"/>
    <col min="1290" max="1290" width="9.7109375" style="5" bestFit="1" customWidth="1"/>
    <col min="1291" max="1291" width="8.85546875" style="5" bestFit="1" customWidth="1"/>
    <col min="1292" max="1292" width="8.5703125" style="5" customWidth="1"/>
    <col min="1293" max="1293" width="8.85546875" style="5" customWidth="1"/>
    <col min="1294" max="1294" width="8" style="5" customWidth="1"/>
    <col min="1295" max="1295" width="8.140625" style="5" customWidth="1"/>
    <col min="1296" max="1296" width="8" style="5" customWidth="1"/>
    <col min="1297" max="1297" width="8.85546875" style="5" customWidth="1"/>
    <col min="1298" max="1302" width="0" style="5" hidden="1" customWidth="1"/>
    <col min="1303" max="1303" width="7.85546875" style="5" bestFit="1" customWidth="1"/>
    <col min="1304" max="1304" width="9" style="5" bestFit="1" customWidth="1"/>
    <col min="1305" max="1305" width="9.5703125" style="5" bestFit="1" customWidth="1"/>
    <col min="1306" max="1306" width="8.5703125" style="5" bestFit="1" customWidth="1"/>
    <col min="1307" max="1307" width="9.5703125" style="5" bestFit="1" customWidth="1"/>
    <col min="1308" max="1536" width="9.140625" style="5"/>
    <col min="1537" max="1537" width="9" style="5" bestFit="1" customWidth="1"/>
    <col min="1538" max="1538" width="15.7109375" style="5" bestFit="1" customWidth="1"/>
    <col min="1539" max="1539" width="5.5703125" style="5" bestFit="1" customWidth="1"/>
    <col min="1540" max="1540" width="10.85546875" style="5" bestFit="1" customWidth="1"/>
    <col min="1541" max="1541" width="7.28515625" style="5" customWidth="1"/>
    <col min="1542" max="1542" width="11.42578125" style="5" bestFit="1" customWidth="1"/>
    <col min="1543" max="1543" width="5.7109375" style="5" bestFit="1" customWidth="1"/>
    <col min="1544" max="1544" width="6" style="5" bestFit="1" customWidth="1"/>
    <col min="1545" max="1545" width="8.140625" style="5" customWidth="1"/>
    <col min="1546" max="1546" width="9.7109375" style="5" bestFit="1" customWidth="1"/>
    <col min="1547" max="1547" width="8.85546875" style="5" bestFit="1" customWidth="1"/>
    <col min="1548" max="1548" width="8.5703125" style="5" customWidth="1"/>
    <col min="1549" max="1549" width="8.85546875" style="5" customWidth="1"/>
    <col min="1550" max="1550" width="8" style="5" customWidth="1"/>
    <col min="1551" max="1551" width="8.140625" style="5" customWidth="1"/>
    <col min="1552" max="1552" width="8" style="5" customWidth="1"/>
    <col min="1553" max="1553" width="8.85546875" style="5" customWidth="1"/>
    <col min="1554" max="1558" width="0" style="5" hidden="1" customWidth="1"/>
    <col min="1559" max="1559" width="7.85546875" style="5" bestFit="1" customWidth="1"/>
    <col min="1560" max="1560" width="9" style="5" bestFit="1" customWidth="1"/>
    <col min="1561" max="1561" width="9.5703125" style="5" bestFit="1" customWidth="1"/>
    <col min="1562" max="1562" width="8.5703125" style="5" bestFit="1" customWidth="1"/>
    <col min="1563" max="1563" width="9.5703125" style="5" bestFit="1" customWidth="1"/>
    <col min="1564" max="1792" width="9.140625" style="5"/>
    <col min="1793" max="1793" width="9" style="5" bestFit="1" customWidth="1"/>
    <col min="1794" max="1794" width="15.7109375" style="5" bestFit="1" customWidth="1"/>
    <col min="1795" max="1795" width="5.5703125" style="5" bestFit="1" customWidth="1"/>
    <col min="1796" max="1796" width="10.85546875" style="5" bestFit="1" customWidth="1"/>
    <col min="1797" max="1797" width="7.28515625" style="5" customWidth="1"/>
    <col min="1798" max="1798" width="11.42578125" style="5" bestFit="1" customWidth="1"/>
    <col min="1799" max="1799" width="5.7109375" style="5" bestFit="1" customWidth="1"/>
    <col min="1800" max="1800" width="6" style="5" bestFit="1" customWidth="1"/>
    <col min="1801" max="1801" width="8.140625" style="5" customWidth="1"/>
    <col min="1802" max="1802" width="9.7109375" style="5" bestFit="1" customWidth="1"/>
    <col min="1803" max="1803" width="8.85546875" style="5" bestFit="1" customWidth="1"/>
    <col min="1804" max="1804" width="8.5703125" style="5" customWidth="1"/>
    <col min="1805" max="1805" width="8.85546875" style="5" customWidth="1"/>
    <col min="1806" max="1806" width="8" style="5" customWidth="1"/>
    <col min="1807" max="1807" width="8.140625" style="5" customWidth="1"/>
    <col min="1808" max="1808" width="8" style="5" customWidth="1"/>
    <col min="1809" max="1809" width="8.85546875" style="5" customWidth="1"/>
    <col min="1810" max="1814" width="0" style="5" hidden="1" customWidth="1"/>
    <col min="1815" max="1815" width="7.85546875" style="5" bestFit="1" customWidth="1"/>
    <col min="1816" max="1816" width="9" style="5" bestFit="1" customWidth="1"/>
    <col min="1817" max="1817" width="9.5703125" style="5" bestFit="1" customWidth="1"/>
    <col min="1818" max="1818" width="8.5703125" style="5" bestFit="1" customWidth="1"/>
    <col min="1819" max="1819" width="9.5703125" style="5" bestFit="1" customWidth="1"/>
    <col min="1820" max="2048" width="9.140625" style="5"/>
    <col min="2049" max="2049" width="9" style="5" bestFit="1" customWidth="1"/>
    <col min="2050" max="2050" width="15.7109375" style="5" bestFit="1" customWidth="1"/>
    <col min="2051" max="2051" width="5.5703125" style="5" bestFit="1" customWidth="1"/>
    <col min="2052" max="2052" width="10.85546875" style="5" bestFit="1" customWidth="1"/>
    <col min="2053" max="2053" width="7.28515625" style="5" customWidth="1"/>
    <col min="2054" max="2054" width="11.42578125" style="5" bestFit="1" customWidth="1"/>
    <col min="2055" max="2055" width="5.7109375" style="5" bestFit="1" customWidth="1"/>
    <col min="2056" max="2056" width="6" style="5" bestFit="1" customWidth="1"/>
    <col min="2057" max="2057" width="8.140625" style="5" customWidth="1"/>
    <col min="2058" max="2058" width="9.7109375" style="5" bestFit="1" customWidth="1"/>
    <col min="2059" max="2059" width="8.85546875" style="5" bestFit="1" customWidth="1"/>
    <col min="2060" max="2060" width="8.5703125" style="5" customWidth="1"/>
    <col min="2061" max="2061" width="8.85546875" style="5" customWidth="1"/>
    <col min="2062" max="2062" width="8" style="5" customWidth="1"/>
    <col min="2063" max="2063" width="8.140625" style="5" customWidth="1"/>
    <col min="2064" max="2064" width="8" style="5" customWidth="1"/>
    <col min="2065" max="2065" width="8.85546875" style="5" customWidth="1"/>
    <col min="2066" max="2070" width="0" style="5" hidden="1" customWidth="1"/>
    <col min="2071" max="2071" width="7.85546875" style="5" bestFit="1" customWidth="1"/>
    <col min="2072" max="2072" width="9" style="5" bestFit="1" customWidth="1"/>
    <col min="2073" max="2073" width="9.5703125" style="5" bestFit="1" customWidth="1"/>
    <col min="2074" max="2074" width="8.5703125" style="5" bestFit="1" customWidth="1"/>
    <col min="2075" max="2075" width="9.5703125" style="5" bestFit="1" customWidth="1"/>
    <col min="2076" max="2304" width="9.140625" style="5"/>
    <col min="2305" max="2305" width="9" style="5" bestFit="1" customWidth="1"/>
    <col min="2306" max="2306" width="15.7109375" style="5" bestFit="1" customWidth="1"/>
    <col min="2307" max="2307" width="5.5703125" style="5" bestFit="1" customWidth="1"/>
    <col min="2308" max="2308" width="10.85546875" style="5" bestFit="1" customWidth="1"/>
    <col min="2309" max="2309" width="7.28515625" style="5" customWidth="1"/>
    <col min="2310" max="2310" width="11.42578125" style="5" bestFit="1" customWidth="1"/>
    <col min="2311" max="2311" width="5.7109375" style="5" bestFit="1" customWidth="1"/>
    <col min="2312" max="2312" width="6" style="5" bestFit="1" customWidth="1"/>
    <col min="2313" max="2313" width="8.140625" style="5" customWidth="1"/>
    <col min="2314" max="2314" width="9.7109375" style="5" bestFit="1" customWidth="1"/>
    <col min="2315" max="2315" width="8.85546875" style="5" bestFit="1" customWidth="1"/>
    <col min="2316" max="2316" width="8.5703125" style="5" customWidth="1"/>
    <col min="2317" max="2317" width="8.85546875" style="5" customWidth="1"/>
    <col min="2318" max="2318" width="8" style="5" customWidth="1"/>
    <col min="2319" max="2319" width="8.140625" style="5" customWidth="1"/>
    <col min="2320" max="2320" width="8" style="5" customWidth="1"/>
    <col min="2321" max="2321" width="8.85546875" style="5" customWidth="1"/>
    <col min="2322" max="2326" width="0" style="5" hidden="1" customWidth="1"/>
    <col min="2327" max="2327" width="7.85546875" style="5" bestFit="1" customWidth="1"/>
    <col min="2328" max="2328" width="9" style="5" bestFit="1" customWidth="1"/>
    <col min="2329" max="2329" width="9.5703125" style="5" bestFit="1" customWidth="1"/>
    <col min="2330" max="2330" width="8.5703125" style="5" bestFit="1" customWidth="1"/>
    <col min="2331" max="2331" width="9.5703125" style="5" bestFit="1" customWidth="1"/>
    <col min="2332" max="2560" width="9.140625" style="5"/>
    <col min="2561" max="2561" width="9" style="5" bestFit="1" customWidth="1"/>
    <col min="2562" max="2562" width="15.7109375" style="5" bestFit="1" customWidth="1"/>
    <col min="2563" max="2563" width="5.5703125" style="5" bestFit="1" customWidth="1"/>
    <col min="2564" max="2564" width="10.85546875" style="5" bestFit="1" customWidth="1"/>
    <col min="2565" max="2565" width="7.28515625" style="5" customWidth="1"/>
    <col min="2566" max="2566" width="11.42578125" style="5" bestFit="1" customWidth="1"/>
    <col min="2567" max="2567" width="5.7109375" style="5" bestFit="1" customWidth="1"/>
    <col min="2568" max="2568" width="6" style="5" bestFit="1" customWidth="1"/>
    <col min="2569" max="2569" width="8.140625" style="5" customWidth="1"/>
    <col min="2570" max="2570" width="9.7109375" style="5" bestFit="1" customWidth="1"/>
    <col min="2571" max="2571" width="8.85546875" style="5" bestFit="1" customWidth="1"/>
    <col min="2572" max="2572" width="8.5703125" style="5" customWidth="1"/>
    <col min="2573" max="2573" width="8.85546875" style="5" customWidth="1"/>
    <col min="2574" max="2574" width="8" style="5" customWidth="1"/>
    <col min="2575" max="2575" width="8.140625" style="5" customWidth="1"/>
    <col min="2576" max="2576" width="8" style="5" customWidth="1"/>
    <col min="2577" max="2577" width="8.85546875" style="5" customWidth="1"/>
    <col min="2578" max="2582" width="0" style="5" hidden="1" customWidth="1"/>
    <col min="2583" max="2583" width="7.85546875" style="5" bestFit="1" customWidth="1"/>
    <col min="2584" max="2584" width="9" style="5" bestFit="1" customWidth="1"/>
    <col min="2585" max="2585" width="9.5703125" style="5" bestFit="1" customWidth="1"/>
    <col min="2586" max="2586" width="8.5703125" style="5" bestFit="1" customWidth="1"/>
    <col min="2587" max="2587" width="9.5703125" style="5" bestFit="1" customWidth="1"/>
    <col min="2588" max="2816" width="9.140625" style="5"/>
    <col min="2817" max="2817" width="9" style="5" bestFit="1" customWidth="1"/>
    <col min="2818" max="2818" width="15.7109375" style="5" bestFit="1" customWidth="1"/>
    <col min="2819" max="2819" width="5.5703125" style="5" bestFit="1" customWidth="1"/>
    <col min="2820" max="2820" width="10.85546875" style="5" bestFit="1" customWidth="1"/>
    <col min="2821" max="2821" width="7.28515625" style="5" customWidth="1"/>
    <col min="2822" max="2822" width="11.42578125" style="5" bestFit="1" customWidth="1"/>
    <col min="2823" max="2823" width="5.7109375" style="5" bestFit="1" customWidth="1"/>
    <col min="2824" max="2824" width="6" style="5" bestFit="1" customWidth="1"/>
    <col min="2825" max="2825" width="8.140625" style="5" customWidth="1"/>
    <col min="2826" max="2826" width="9.7109375" style="5" bestFit="1" customWidth="1"/>
    <col min="2827" max="2827" width="8.85546875" style="5" bestFit="1" customWidth="1"/>
    <col min="2828" max="2828" width="8.5703125" style="5" customWidth="1"/>
    <col min="2829" max="2829" width="8.85546875" style="5" customWidth="1"/>
    <col min="2830" max="2830" width="8" style="5" customWidth="1"/>
    <col min="2831" max="2831" width="8.140625" style="5" customWidth="1"/>
    <col min="2832" max="2832" width="8" style="5" customWidth="1"/>
    <col min="2833" max="2833" width="8.85546875" style="5" customWidth="1"/>
    <col min="2834" max="2838" width="0" style="5" hidden="1" customWidth="1"/>
    <col min="2839" max="2839" width="7.85546875" style="5" bestFit="1" customWidth="1"/>
    <col min="2840" max="2840" width="9" style="5" bestFit="1" customWidth="1"/>
    <col min="2841" max="2841" width="9.5703125" style="5" bestFit="1" customWidth="1"/>
    <col min="2842" max="2842" width="8.5703125" style="5" bestFit="1" customWidth="1"/>
    <col min="2843" max="2843" width="9.5703125" style="5" bestFit="1" customWidth="1"/>
    <col min="2844" max="3072" width="9.140625" style="5"/>
    <col min="3073" max="3073" width="9" style="5" bestFit="1" customWidth="1"/>
    <col min="3074" max="3074" width="15.7109375" style="5" bestFit="1" customWidth="1"/>
    <col min="3075" max="3075" width="5.5703125" style="5" bestFit="1" customWidth="1"/>
    <col min="3076" max="3076" width="10.85546875" style="5" bestFit="1" customWidth="1"/>
    <col min="3077" max="3077" width="7.28515625" style="5" customWidth="1"/>
    <col min="3078" max="3078" width="11.42578125" style="5" bestFit="1" customWidth="1"/>
    <col min="3079" max="3079" width="5.7109375" style="5" bestFit="1" customWidth="1"/>
    <col min="3080" max="3080" width="6" style="5" bestFit="1" customWidth="1"/>
    <col min="3081" max="3081" width="8.140625" style="5" customWidth="1"/>
    <col min="3082" max="3082" width="9.7109375" style="5" bestFit="1" customWidth="1"/>
    <col min="3083" max="3083" width="8.85546875" style="5" bestFit="1" customWidth="1"/>
    <col min="3084" max="3084" width="8.5703125" style="5" customWidth="1"/>
    <col min="3085" max="3085" width="8.85546875" style="5" customWidth="1"/>
    <col min="3086" max="3086" width="8" style="5" customWidth="1"/>
    <col min="3087" max="3087" width="8.140625" style="5" customWidth="1"/>
    <col min="3088" max="3088" width="8" style="5" customWidth="1"/>
    <col min="3089" max="3089" width="8.85546875" style="5" customWidth="1"/>
    <col min="3090" max="3094" width="0" style="5" hidden="1" customWidth="1"/>
    <col min="3095" max="3095" width="7.85546875" style="5" bestFit="1" customWidth="1"/>
    <col min="3096" max="3096" width="9" style="5" bestFit="1" customWidth="1"/>
    <col min="3097" max="3097" width="9.5703125" style="5" bestFit="1" customWidth="1"/>
    <col min="3098" max="3098" width="8.5703125" style="5" bestFit="1" customWidth="1"/>
    <col min="3099" max="3099" width="9.5703125" style="5" bestFit="1" customWidth="1"/>
    <col min="3100" max="3328" width="9.140625" style="5"/>
    <col min="3329" max="3329" width="9" style="5" bestFit="1" customWidth="1"/>
    <col min="3330" max="3330" width="15.7109375" style="5" bestFit="1" customWidth="1"/>
    <col min="3331" max="3331" width="5.5703125" style="5" bestFit="1" customWidth="1"/>
    <col min="3332" max="3332" width="10.85546875" style="5" bestFit="1" customWidth="1"/>
    <col min="3333" max="3333" width="7.28515625" style="5" customWidth="1"/>
    <col min="3334" max="3334" width="11.42578125" style="5" bestFit="1" customWidth="1"/>
    <col min="3335" max="3335" width="5.7109375" style="5" bestFit="1" customWidth="1"/>
    <col min="3336" max="3336" width="6" style="5" bestFit="1" customWidth="1"/>
    <col min="3337" max="3337" width="8.140625" style="5" customWidth="1"/>
    <col min="3338" max="3338" width="9.7109375" style="5" bestFit="1" customWidth="1"/>
    <col min="3339" max="3339" width="8.85546875" style="5" bestFit="1" customWidth="1"/>
    <col min="3340" max="3340" width="8.5703125" style="5" customWidth="1"/>
    <col min="3341" max="3341" width="8.85546875" style="5" customWidth="1"/>
    <col min="3342" max="3342" width="8" style="5" customWidth="1"/>
    <col min="3343" max="3343" width="8.140625" style="5" customWidth="1"/>
    <col min="3344" max="3344" width="8" style="5" customWidth="1"/>
    <col min="3345" max="3345" width="8.85546875" style="5" customWidth="1"/>
    <col min="3346" max="3350" width="0" style="5" hidden="1" customWidth="1"/>
    <col min="3351" max="3351" width="7.85546875" style="5" bestFit="1" customWidth="1"/>
    <col min="3352" max="3352" width="9" style="5" bestFit="1" customWidth="1"/>
    <col min="3353" max="3353" width="9.5703125" style="5" bestFit="1" customWidth="1"/>
    <col min="3354" max="3354" width="8.5703125" style="5" bestFit="1" customWidth="1"/>
    <col min="3355" max="3355" width="9.5703125" style="5" bestFit="1" customWidth="1"/>
    <col min="3356" max="3584" width="9.140625" style="5"/>
    <col min="3585" max="3585" width="9" style="5" bestFit="1" customWidth="1"/>
    <col min="3586" max="3586" width="15.7109375" style="5" bestFit="1" customWidth="1"/>
    <col min="3587" max="3587" width="5.5703125" style="5" bestFit="1" customWidth="1"/>
    <col min="3588" max="3588" width="10.85546875" style="5" bestFit="1" customWidth="1"/>
    <col min="3589" max="3589" width="7.28515625" style="5" customWidth="1"/>
    <col min="3590" max="3590" width="11.42578125" style="5" bestFit="1" customWidth="1"/>
    <col min="3591" max="3591" width="5.7109375" style="5" bestFit="1" customWidth="1"/>
    <col min="3592" max="3592" width="6" style="5" bestFit="1" customWidth="1"/>
    <col min="3593" max="3593" width="8.140625" style="5" customWidth="1"/>
    <col min="3594" max="3594" width="9.7109375" style="5" bestFit="1" customWidth="1"/>
    <col min="3595" max="3595" width="8.85546875" style="5" bestFit="1" customWidth="1"/>
    <col min="3596" max="3596" width="8.5703125" style="5" customWidth="1"/>
    <col min="3597" max="3597" width="8.85546875" style="5" customWidth="1"/>
    <col min="3598" max="3598" width="8" style="5" customWidth="1"/>
    <col min="3599" max="3599" width="8.140625" style="5" customWidth="1"/>
    <col min="3600" max="3600" width="8" style="5" customWidth="1"/>
    <col min="3601" max="3601" width="8.85546875" style="5" customWidth="1"/>
    <col min="3602" max="3606" width="0" style="5" hidden="1" customWidth="1"/>
    <col min="3607" max="3607" width="7.85546875" style="5" bestFit="1" customWidth="1"/>
    <col min="3608" max="3608" width="9" style="5" bestFit="1" customWidth="1"/>
    <col min="3609" max="3609" width="9.5703125" style="5" bestFit="1" customWidth="1"/>
    <col min="3610" max="3610" width="8.5703125" style="5" bestFit="1" customWidth="1"/>
    <col min="3611" max="3611" width="9.5703125" style="5" bestFit="1" customWidth="1"/>
    <col min="3612" max="3840" width="9.140625" style="5"/>
    <col min="3841" max="3841" width="9" style="5" bestFit="1" customWidth="1"/>
    <col min="3842" max="3842" width="15.7109375" style="5" bestFit="1" customWidth="1"/>
    <col min="3843" max="3843" width="5.5703125" style="5" bestFit="1" customWidth="1"/>
    <col min="3844" max="3844" width="10.85546875" style="5" bestFit="1" customWidth="1"/>
    <col min="3845" max="3845" width="7.28515625" style="5" customWidth="1"/>
    <col min="3846" max="3846" width="11.42578125" style="5" bestFit="1" customWidth="1"/>
    <col min="3847" max="3847" width="5.7109375" style="5" bestFit="1" customWidth="1"/>
    <col min="3848" max="3848" width="6" style="5" bestFit="1" customWidth="1"/>
    <col min="3849" max="3849" width="8.140625" style="5" customWidth="1"/>
    <col min="3850" max="3850" width="9.7109375" style="5" bestFit="1" customWidth="1"/>
    <col min="3851" max="3851" width="8.85546875" style="5" bestFit="1" customWidth="1"/>
    <col min="3852" max="3852" width="8.5703125" style="5" customWidth="1"/>
    <col min="3853" max="3853" width="8.85546875" style="5" customWidth="1"/>
    <col min="3854" max="3854" width="8" style="5" customWidth="1"/>
    <col min="3855" max="3855" width="8.140625" style="5" customWidth="1"/>
    <col min="3856" max="3856" width="8" style="5" customWidth="1"/>
    <col min="3857" max="3857" width="8.85546875" style="5" customWidth="1"/>
    <col min="3858" max="3862" width="0" style="5" hidden="1" customWidth="1"/>
    <col min="3863" max="3863" width="7.85546875" style="5" bestFit="1" customWidth="1"/>
    <col min="3864" max="3864" width="9" style="5" bestFit="1" customWidth="1"/>
    <col min="3865" max="3865" width="9.5703125" style="5" bestFit="1" customWidth="1"/>
    <col min="3866" max="3866" width="8.5703125" style="5" bestFit="1" customWidth="1"/>
    <col min="3867" max="3867" width="9.5703125" style="5" bestFit="1" customWidth="1"/>
    <col min="3868" max="4096" width="9.140625" style="5"/>
    <col min="4097" max="4097" width="9" style="5" bestFit="1" customWidth="1"/>
    <col min="4098" max="4098" width="15.7109375" style="5" bestFit="1" customWidth="1"/>
    <col min="4099" max="4099" width="5.5703125" style="5" bestFit="1" customWidth="1"/>
    <col min="4100" max="4100" width="10.85546875" style="5" bestFit="1" customWidth="1"/>
    <col min="4101" max="4101" width="7.28515625" style="5" customWidth="1"/>
    <col min="4102" max="4102" width="11.42578125" style="5" bestFit="1" customWidth="1"/>
    <col min="4103" max="4103" width="5.7109375" style="5" bestFit="1" customWidth="1"/>
    <col min="4104" max="4104" width="6" style="5" bestFit="1" customWidth="1"/>
    <col min="4105" max="4105" width="8.140625" style="5" customWidth="1"/>
    <col min="4106" max="4106" width="9.7109375" style="5" bestFit="1" customWidth="1"/>
    <col min="4107" max="4107" width="8.85546875" style="5" bestFit="1" customWidth="1"/>
    <col min="4108" max="4108" width="8.5703125" style="5" customWidth="1"/>
    <col min="4109" max="4109" width="8.85546875" style="5" customWidth="1"/>
    <col min="4110" max="4110" width="8" style="5" customWidth="1"/>
    <col min="4111" max="4111" width="8.140625" style="5" customWidth="1"/>
    <col min="4112" max="4112" width="8" style="5" customWidth="1"/>
    <col min="4113" max="4113" width="8.85546875" style="5" customWidth="1"/>
    <col min="4114" max="4118" width="0" style="5" hidden="1" customWidth="1"/>
    <col min="4119" max="4119" width="7.85546875" style="5" bestFit="1" customWidth="1"/>
    <col min="4120" max="4120" width="9" style="5" bestFit="1" customWidth="1"/>
    <col min="4121" max="4121" width="9.5703125" style="5" bestFit="1" customWidth="1"/>
    <col min="4122" max="4122" width="8.5703125" style="5" bestFit="1" customWidth="1"/>
    <col min="4123" max="4123" width="9.5703125" style="5" bestFit="1" customWidth="1"/>
    <col min="4124" max="4352" width="9.140625" style="5"/>
    <col min="4353" max="4353" width="9" style="5" bestFit="1" customWidth="1"/>
    <col min="4354" max="4354" width="15.7109375" style="5" bestFit="1" customWidth="1"/>
    <col min="4355" max="4355" width="5.5703125" style="5" bestFit="1" customWidth="1"/>
    <col min="4356" max="4356" width="10.85546875" style="5" bestFit="1" customWidth="1"/>
    <col min="4357" max="4357" width="7.28515625" style="5" customWidth="1"/>
    <col min="4358" max="4358" width="11.42578125" style="5" bestFit="1" customWidth="1"/>
    <col min="4359" max="4359" width="5.7109375" style="5" bestFit="1" customWidth="1"/>
    <col min="4360" max="4360" width="6" style="5" bestFit="1" customWidth="1"/>
    <col min="4361" max="4361" width="8.140625" style="5" customWidth="1"/>
    <col min="4362" max="4362" width="9.7109375" style="5" bestFit="1" customWidth="1"/>
    <col min="4363" max="4363" width="8.85546875" style="5" bestFit="1" customWidth="1"/>
    <col min="4364" max="4364" width="8.5703125" style="5" customWidth="1"/>
    <col min="4365" max="4365" width="8.85546875" style="5" customWidth="1"/>
    <col min="4366" max="4366" width="8" style="5" customWidth="1"/>
    <col min="4367" max="4367" width="8.140625" style="5" customWidth="1"/>
    <col min="4368" max="4368" width="8" style="5" customWidth="1"/>
    <col min="4369" max="4369" width="8.85546875" style="5" customWidth="1"/>
    <col min="4370" max="4374" width="0" style="5" hidden="1" customWidth="1"/>
    <col min="4375" max="4375" width="7.85546875" style="5" bestFit="1" customWidth="1"/>
    <col min="4376" max="4376" width="9" style="5" bestFit="1" customWidth="1"/>
    <col min="4377" max="4377" width="9.5703125" style="5" bestFit="1" customWidth="1"/>
    <col min="4378" max="4378" width="8.5703125" style="5" bestFit="1" customWidth="1"/>
    <col min="4379" max="4379" width="9.5703125" style="5" bestFit="1" customWidth="1"/>
    <col min="4380" max="4608" width="9.140625" style="5"/>
    <col min="4609" max="4609" width="9" style="5" bestFit="1" customWidth="1"/>
    <col min="4610" max="4610" width="15.7109375" style="5" bestFit="1" customWidth="1"/>
    <col min="4611" max="4611" width="5.5703125" style="5" bestFit="1" customWidth="1"/>
    <col min="4612" max="4612" width="10.85546875" style="5" bestFit="1" customWidth="1"/>
    <col min="4613" max="4613" width="7.28515625" style="5" customWidth="1"/>
    <col min="4614" max="4614" width="11.42578125" style="5" bestFit="1" customWidth="1"/>
    <col min="4615" max="4615" width="5.7109375" style="5" bestFit="1" customWidth="1"/>
    <col min="4616" max="4616" width="6" style="5" bestFit="1" customWidth="1"/>
    <col min="4617" max="4617" width="8.140625" style="5" customWidth="1"/>
    <col min="4618" max="4618" width="9.7109375" style="5" bestFit="1" customWidth="1"/>
    <col min="4619" max="4619" width="8.85546875" style="5" bestFit="1" customWidth="1"/>
    <col min="4620" max="4620" width="8.5703125" style="5" customWidth="1"/>
    <col min="4621" max="4621" width="8.85546875" style="5" customWidth="1"/>
    <col min="4622" max="4622" width="8" style="5" customWidth="1"/>
    <col min="4623" max="4623" width="8.140625" style="5" customWidth="1"/>
    <col min="4624" max="4624" width="8" style="5" customWidth="1"/>
    <col min="4625" max="4625" width="8.85546875" style="5" customWidth="1"/>
    <col min="4626" max="4630" width="0" style="5" hidden="1" customWidth="1"/>
    <col min="4631" max="4631" width="7.85546875" style="5" bestFit="1" customWidth="1"/>
    <col min="4632" max="4632" width="9" style="5" bestFit="1" customWidth="1"/>
    <col min="4633" max="4633" width="9.5703125" style="5" bestFit="1" customWidth="1"/>
    <col min="4634" max="4634" width="8.5703125" style="5" bestFit="1" customWidth="1"/>
    <col min="4635" max="4635" width="9.5703125" style="5" bestFit="1" customWidth="1"/>
    <col min="4636" max="4864" width="9.140625" style="5"/>
    <col min="4865" max="4865" width="9" style="5" bestFit="1" customWidth="1"/>
    <col min="4866" max="4866" width="15.7109375" style="5" bestFit="1" customWidth="1"/>
    <col min="4867" max="4867" width="5.5703125" style="5" bestFit="1" customWidth="1"/>
    <col min="4868" max="4868" width="10.85546875" style="5" bestFit="1" customWidth="1"/>
    <col min="4869" max="4869" width="7.28515625" style="5" customWidth="1"/>
    <col min="4870" max="4870" width="11.42578125" style="5" bestFit="1" customWidth="1"/>
    <col min="4871" max="4871" width="5.7109375" style="5" bestFit="1" customWidth="1"/>
    <col min="4872" max="4872" width="6" style="5" bestFit="1" customWidth="1"/>
    <col min="4873" max="4873" width="8.140625" style="5" customWidth="1"/>
    <col min="4874" max="4874" width="9.7109375" style="5" bestFit="1" customWidth="1"/>
    <col min="4875" max="4875" width="8.85546875" style="5" bestFit="1" customWidth="1"/>
    <col min="4876" max="4876" width="8.5703125" style="5" customWidth="1"/>
    <col min="4877" max="4877" width="8.85546875" style="5" customWidth="1"/>
    <col min="4878" max="4878" width="8" style="5" customWidth="1"/>
    <col min="4879" max="4879" width="8.140625" style="5" customWidth="1"/>
    <col min="4880" max="4880" width="8" style="5" customWidth="1"/>
    <col min="4881" max="4881" width="8.85546875" style="5" customWidth="1"/>
    <col min="4882" max="4886" width="0" style="5" hidden="1" customWidth="1"/>
    <col min="4887" max="4887" width="7.85546875" style="5" bestFit="1" customWidth="1"/>
    <col min="4888" max="4888" width="9" style="5" bestFit="1" customWidth="1"/>
    <col min="4889" max="4889" width="9.5703125" style="5" bestFit="1" customWidth="1"/>
    <col min="4890" max="4890" width="8.5703125" style="5" bestFit="1" customWidth="1"/>
    <col min="4891" max="4891" width="9.5703125" style="5" bestFit="1" customWidth="1"/>
    <col min="4892" max="5120" width="9.140625" style="5"/>
    <col min="5121" max="5121" width="9" style="5" bestFit="1" customWidth="1"/>
    <col min="5122" max="5122" width="15.7109375" style="5" bestFit="1" customWidth="1"/>
    <col min="5123" max="5123" width="5.5703125" style="5" bestFit="1" customWidth="1"/>
    <col min="5124" max="5124" width="10.85546875" style="5" bestFit="1" customWidth="1"/>
    <col min="5125" max="5125" width="7.28515625" style="5" customWidth="1"/>
    <col min="5126" max="5126" width="11.42578125" style="5" bestFit="1" customWidth="1"/>
    <col min="5127" max="5127" width="5.7109375" style="5" bestFit="1" customWidth="1"/>
    <col min="5128" max="5128" width="6" style="5" bestFit="1" customWidth="1"/>
    <col min="5129" max="5129" width="8.140625" style="5" customWidth="1"/>
    <col min="5130" max="5130" width="9.7109375" style="5" bestFit="1" customWidth="1"/>
    <col min="5131" max="5131" width="8.85546875" style="5" bestFit="1" customWidth="1"/>
    <col min="5132" max="5132" width="8.5703125" style="5" customWidth="1"/>
    <col min="5133" max="5133" width="8.85546875" style="5" customWidth="1"/>
    <col min="5134" max="5134" width="8" style="5" customWidth="1"/>
    <col min="5135" max="5135" width="8.140625" style="5" customWidth="1"/>
    <col min="5136" max="5136" width="8" style="5" customWidth="1"/>
    <col min="5137" max="5137" width="8.85546875" style="5" customWidth="1"/>
    <col min="5138" max="5142" width="0" style="5" hidden="1" customWidth="1"/>
    <col min="5143" max="5143" width="7.85546875" style="5" bestFit="1" customWidth="1"/>
    <col min="5144" max="5144" width="9" style="5" bestFit="1" customWidth="1"/>
    <col min="5145" max="5145" width="9.5703125" style="5" bestFit="1" customWidth="1"/>
    <col min="5146" max="5146" width="8.5703125" style="5" bestFit="1" customWidth="1"/>
    <col min="5147" max="5147" width="9.5703125" style="5" bestFit="1" customWidth="1"/>
    <col min="5148" max="5376" width="9.140625" style="5"/>
    <col min="5377" max="5377" width="9" style="5" bestFit="1" customWidth="1"/>
    <col min="5378" max="5378" width="15.7109375" style="5" bestFit="1" customWidth="1"/>
    <col min="5379" max="5379" width="5.5703125" style="5" bestFit="1" customWidth="1"/>
    <col min="5380" max="5380" width="10.85546875" style="5" bestFit="1" customWidth="1"/>
    <col min="5381" max="5381" width="7.28515625" style="5" customWidth="1"/>
    <col min="5382" max="5382" width="11.42578125" style="5" bestFit="1" customWidth="1"/>
    <col min="5383" max="5383" width="5.7109375" style="5" bestFit="1" customWidth="1"/>
    <col min="5384" max="5384" width="6" style="5" bestFit="1" customWidth="1"/>
    <col min="5385" max="5385" width="8.140625" style="5" customWidth="1"/>
    <col min="5386" max="5386" width="9.7109375" style="5" bestFit="1" customWidth="1"/>
    <col min="5387" max="5387" width="8.85546875" style="5" bestFit="1" customWidth="1"/>
    <col min="5388" max="5388" width="8.5703125" style="5" customWidth="1"/>
    <col min="5389" max="5389" width="8.85546875" style="5" customWidth="1"/>
    <col min="5390" max="5390" width="8" style="5" customWidth="1"/>
    <col min="5391" max="5391" width="8.140625" style="5" customWidth="1"/>
    <col min="5392" max="5392" width="8" style="5" customWidth="1"/>
    <col min="5393" max="5393" width="8.85546875" style="5" customWidth="1"/>
    <col min="5394" max="5398" width="0" style="5" hidden="1" customWidth="1"/>
    <col min="5399" max="5399" width="7.85546875" style="5" bestFit="1" customWidth="1"/>
    <col min="5400" max="5400" width="9" style="5" bestFit="1" customWidth="1"/>
    <col min="5401" max="5401" width="9.5703125" style="5" bestFit="1" customWidth="1"/>
    <col min="5402" max="5402" width="8.5703125" style="5" bestFit="1" customWidth="1"/>
    <col min="5403" max="5403" width="9.5703125" style="5" bestFit="1" customWidth="1"/>
    <col min="5404" max="5632" width="9.140625" style="5"/>
    <col min="5633" max="5633" width="9" style="5" bestFit="1" customWidth="1"/>
    <col min="5634" max="5634" width="15.7109375" style="5" bestFit="1" customWidth="1"/>
    <col min="5635" max="5635" width="5.5703125" style="5" bestFit="1" customWidth="1"/>
    <col min="5636" max="5636" width="10.85546875" style="5" bestFit="1" customWidth="1"/>
    <col min="5637" max="5637" width="7.28515625" style="5" customWidth="1"/>
    <col min="5638" max="5638" width="11.42578125" style="5" bestFit="1" customWidth="1"/>
    <col min="5639" max="5639" width="5.7109375" style="5" bestFit="1" customWidth="1"/>
    <col min="5640" max="5640" width="6" style="5" bestFit="1" customWidth="1"/>
    <col min="5641" max="5641" width="8.140625" style="5" customWidth="1"/>
    <col min="5642" max="5642" width="9.7109375" style="5" bestFit="1" customWidth="1"/>
    <col min="5643" max="5643" width="8.85546875" style="5" bestFit="1" customWidth="1"/>
    <col min="5644" max="5644" width="8.5703125" style="5" customWidth="1"/>
    <col min="5645" max="5645" width="8.85546875" style="5" customWidth="1"/>
    <col min="5646" max="5646" width="8" style="5" customWidth="1"/>
    <col min="5647" max="5647" width="8.140625" style="5" customWidth="1"/>
    <col min="5648" max="5648" width="8" style="5" customWidth="1"/>
    <col min="5649" max="5649" width="8.85546875" style="5" customWidth="1"/>
    <col min="5650" max="5654" width="0" style="5" hidden="1" customWidth="1"/>
    <col min="5655" max="5655" width="7.85546875" style="5" bestFit="1" customWidth="1"/>
    <col min="5656" max="5656" width="9" style="5" bestFit="1" customWidth="1"/>
    <col min="5657" max="5657" width="9.5703125" style="5" bestFit="1" customWidth="1"/>
    <col min="5658" max="5658" width="8.5703125" style="5" bestFit="1" customWidth="1"/>
    <col min="5659" max="5659" width="9.5703125" style="5" bestFit="1" customWidth="1"/>
    <col min="5660" max="5888" width="9.140625" style="5"/>
    <col min="5889" max="5889" width="9" style="5" bestFit="1" customWidth="1"/>
    <col min="5890" max="5890" width="15.7109375" style="5" bestFit="1" customWidth="1"/>
    <col min="5891" max="5891" width="5.5703125" style="5" bestFit="1" customWidth="1"/>
    <col min="5892" max="5892" width="10.85546875" style="5" bestFit="1" customWidth="1"/>
    <col min="5893" max="5893" width="7.28515625" style="5" customWidth="1"/>
    <col min="5894" max="5894" width="11.42578125" style="5" bestFit="1" customWidth="1"/>
    <col min="5895" max="5895" width="5.7109375" style="5" bestFit="1" customWidth="1"/>
    <col min="5896" max="5896" width="6" style="5" bestFit="1" customWidth="1"/>
    <col min="5897" max="5897" width="8.140625" style="5" customWidth="1"/>
    <col min="5898" max="5898" width="9.7109375" style="5" bestFit="1" customWidth="1"/>
    <col min="5899" max="5899" width="8.85546875" style="5" bestFit="1" customWidth="1"/>
    <col min="5900" max="5900" width="8.5703125" style="5" customWidth="1"/>
    <col min="5901" max="5901" width="8.85546875" style="5" customWidth="1"/>
    <col min="5902" max="5902" width="8" style="5" customWidth="1"/>
    <col min="5903" max="5903" width="8.140625" style="5" customWidth="1"/>
    <col min="5904" max="5904" width="8" style="5" customWidth="1"/>
    <col min="5905" max="5905" width="8.85546875" style="5" customWidth="1"/>
    <col min="5906" max="5910" width="0" style="5" hidden="1" customWidth="1"/>
    <col min="5911" max="5911" width="7.85546875" style="5" bestFit="1" customWidth="1"/>
    <col min="5912" max="5912" width="9" style="5" bestFit="1" customWidth="1"/>
    <col min="5913" max="5913" width="9.5703125" style="5" bestFit="1" customWidth="1"/>
    <col min="5914" max="5914" width="8.5703125" style="5" bestFit="1" customWidth="1"/>
    <col min="5915" max="5915" width="9.5703125" style="5" bestFit="1" customWidth="1"/>
    <col min="5916" max="6144" width="9.140625" style="5"/>
    <col min="6145" max="6145" width="9" style="5" bestFit="1" customWidth="1"/>
    <col min="6146" max="6146" width="15.7109375" style="5" bestFit="1" customWidth="1"/>
    <col min="6147" max="6147" width="5.5703125" style="5" bestFit="1" customWidth="1"/>
    <col min="6148" max="6148" width="10.85546875" style="5" bestFit="1" customWidth="1"/>
    <col min="6149" max="6149" width="7.28515625" style="5" customWidth="1"/>
    <col min="6150" max="6150" width="11.42578125" style="5" bestFit="1" customWidth="1"/>
    <col min="6151" max="6151" width="5.7109375" style="5" bestFit="1" customWidth="1"/>
    <col min="6152" max="6152" width="6" style="5" bestFit="1" customWidth="1"/>
    <col min="6153" max="6153" width="8.140625" style="5" customWidth="1"/>
    <col min="6154" max="6154" width="9.7109375" style="5" bestFit="1" customWidth="1"/>
    <col min="6155" max="6155" width="8.85546875" style="5" bestFit="1" customWidth="1"/>
    <col min="6156" max="6156" width="8.5703125" style="5" customWidth="1"/>
    <col min="6157" max="6157" width="8.85546875" style="5" customWidth="1"/>
    <col min="6158" max="6158" width="8" style="5" customWidth="1"/>
    <col min="6159" max="6159" width="8.140625" style="5" customWidth="1"/>
    <col min="6160" max="6160" width="8" style="5" customWidth="1"/>
    <col min="6161" max="6161" width="8.85546875" style="5" customWidth="1"/>
    <col min="6162" max="6166" width="0" style="5" hidden="1" customWidth="1"/>
    <col min="6167" max="6167" width="7.85546875" style="5" bestFit="1" customWidth="1"/>
    <col min="6168" max="6168" width="9" style="5" bestFit="1" customWidth="1"/>
    <col min="6169" max="6169" width="9.5703125" style="5" bestFit="1" customWidth="1"/>
    <col min="6170" max="6170" width="8.5703125" style="5" bestFit="1" customWidth="1"/>
    <col min="6171" max="6171" width="9.5703125" style="5" bestFit="1" customWidth="1"/>
    <col min="6172" max="6400" width="9.140625" style="5"/>
    <col min="6401" max="6401" width="9" style="5" bestFit="1" customWidth="1"/>
    <col min="6402" max="6402" width="15.7109375" style="5" bestFit="1" customWidth="1"/>
    <col min="6403" max="6403" width="5.5703125" style="5" bestFit="1" customWidth="1"/>
    <col min="6404" max="6404" width="10.85546875" style="5" bestFit="1" customWidth="1"/>
    <col min="6405" max="6405" width="7.28515625" style="5" customWidth="1"/>
    <col min="6406" max="6406" width="11.42578125" style="5" bestFit="1" customWidth="1"/>
    <col min="6407" max="6407" width="5.7109375" style="5" bestFit="1" customWidth="1"/>
    <col min="6408" max="6408" width="6" style="5" bestFit="1" customWidth="1"/>
    <col min="6409" max="6409" width="8.140625" style="5" customWidth="1"/>
    <col min="6410" max="6410" width="9.7109375" style="5" bestFit="1" customWidth="1"/>
    <col min="6411" max="6411" width="8.85546875" style="5" bestFit="1" customWidth="1"/>
    <col min="6412" max="6412" width="8.5703125" style="5" customWidth="1"/>
    <col min="6413" max="6413" width="8.85546875" style="5" customWidth="1"/>
    <col min="6414" max="6414" width="8" style="5" customWidth="1"/>
    <col min="6415" max="6415" width="8.140625" style="5" customWidth="1"/>
    <col min="6416" max="6416" width="8" style="5" customWidth="1"/>
    <col min="6417" max="6417" width="8.85546875" style="5" customWidth="1"/>
    <col min="6418" max="6422" width="0" style="5" hidden="1" customWidth="1"/>
    <col min="6423" max="6423" width="7.85546875" style="5" bestFit="1" customWidth="1"/>
    <col min="6424" max="6424" width="9" style="5" bestFit="1" customWidth="1"/>
    <col min="6425" max="6425" width="9.5703125" style="5" bestFit="1" customWidth="1"/>
    <col min="6426" max="6426" width="8.5703125" style="5" bestFit="1" customWidth="1"/>
    <col min="6427" max="6427" width="9.5703125" style="5" bestFit="1" customWidth="1"/>
    <col min="6428" max="6656" width="9.140625" style="5"/>
    <col min="6657" max="6657" width="9" style="5" bestFit="1" customWidth="1"/>
    <col min="6658" max="6658" width="15.7109375" style="5" bestFit="1" customWidth="1"/>
    <col min="6659" max="6659" width="5.5703125" style="5" bestFit="1" customWidth="1"/>
    <col min="6660" max="6660" width="10.85546875" style="5" bestFit="1" customWidth="1"/>
    <col min="6661" max="6661" width="7.28515625" style="5" customWidth="1"/>
    <col min="6662" max="6662" width="11.42578125" style="5" bestFit="1" customWidth="1"/>
    <col min="6663" max="6663" width="5.7109375" style="5" bestFit="1" customWidth="1"/>
    <col min="6664" max="6664" width="6" style="5" bestFit="1" customWidth="1"/>
    <col min="6665" max="6665" width="8.140625" style="5" customWidth="1"/>
    <col min="6666" max="6666" width="9.7109375" style="5" bestFit="1" customWidth="1"/>
    <col min="6667" max="6667" width="8.85546875" style="5" bestFit="1" customWidth="1"/>
    <col min="6668" max="6668" width="8.5703125" style="5" customWidth="1"/>
    <col min="6669" max="6669" width="8.85546875" style="5" customWidth="1"/>
    <col min="6670" max="6670" width="8" style="5" customWidth="1"/>
    <col min="6671" max="6671" width="8.140625" style="5" customWidth="1"/>
    <col min="6672" max="6672" width="8" style="5" customWidth="1"/>
    <col min="6673" max="6673" width="8.85546875" style="5" customWidth="1"/>
    <col min="6674" max="6678" width="0" style="5" hidden="1" customWidth="1"/>
    <col min="6679" max="6679" width="7.85546875" style="5" bestFit="1" customWidth="1"/>
    <col min="6680" max="6680" width="9" style="5" bestFit="1" customWidth="1"/>
    <col min="6681" max="6681" width="9.5703125" style="5" bestFit="1" customWidth="1"/>
    <col min="6682" max="6682" width="8.5703125" style="5" bestFit="1" customWidth="1"/>
    <col min="6683" max="6683" width="9.5703125" style="5" bestFit="1" customWidth="1"/>
    <col min="6684" max="6912" width="9.140625" style="5"/>
    <col min="6913" max="6913" width="9" style="5" bestFit="1" customWidth="1"/>
    <col min="6914" max="6914" width="15.7109375" style="5" bestFit="1" customWidth="1"/>
    <col min="6915" max="6915" width="5.5703125" style="5" bestFit="1" customWidth="1"/>
    <col min="6916" max="6916" width="10.85546875" style="5" bestFit="1" customWidth="1"/>
    <col min="6917" max="6917" width="7.28515625" style="5" customWidth="1"/>
    <col min="6918" max="6918" width="11.42578125" style="5" bestFit="1" customWidth="1"/>
    <col min="6919" max="6919" width="5.7109375" style="5" bestFit="1" customWidth="1"/>
    <col min="6920" max="6920" width="6" style="5" bestFit="1" customWidth="1"/>
    <col min="6921" max="6921" width="8.140625" style="5" customWidth="1"/>
    <col min="6922" max="6922" width="9.7109375" style="5" bestFit="1" customWidth="1"/>
    <col min="6923" max="6923" width="8.85546875" style="5" bestFit="1" customWidth="1"/>
    <col min="6924" max="6924" width="8.5703125" style="5" customWidth="1"/>
    <col min="6925" max="6925" width="8.85546875" style="5" customWidth="1"/>
    <col min="6926" max="6926" width="8" style="5" customWidth="1"/>
    <col min="6927" max="6927" width="8.140625" style="5" customWidth="1"/>
    <col min="6928" max="6928" width="8" style="5" customWidth="1"/>
    <col min="6929" max="6929" width="8.85546875" style="5" customWidth="1"/>
    <col min="6930" max="6934" width="0" style="5" hidden="1" customWidth="1"/>
    <col min="6935" max="6935" width="7.85546875" style="5" bestFit="1" customWidth="1"/>
    <col min="6936" max="6936" width="9" style="5" bestFit="1" customWidth="1"/>
    <col min="6937" max="6937" width="9.5703125" style="5" bestFit="1" customWidth="1"/>
    <col min="6938" max="6938" width="8.5703125" style="5" bestFit="1" customWidth="1"/>
    <col min="6939" max="6939" width="9.5703125" style="5" bestFit="1" customWidth="1"/>
    <col min="6940" max="7168" width="9.140625" style="5"/>
    <col min="7169" max="7169" width="9" style="5" bestFit="1" customWidth="1"/>
    <col min="7170" max="7170" width="15.7109375" style="5" bestFit="1" customWidth="1"/>
    <col min="7171" max="7171" width="5.5703125" style="5" bestFit="1" customWidth="1"/>
    <col min="7172" max="7172" width="10.85546875" style="5" bestFit="1" customWidth="1"/>
    <col min="7173" max="7173" width="7.28515625" style="5" customWidth="1"/>
    <col min="7174" max="7174" width="11.42578125" style="5" bestFit="1" customWidth="1"/>
    <col min="7175" max="7175" width="5.7109375" style="5" bestFit="1" customWidth="1"/>
    <col min="7176" max="7176" width="6" style="5" bestFit="1" customWidth="1"/>
    <col min="7177" max="7177" width="8.140625" style="5" customWidth="1"/>
    <col min="7178" max="7178" width="9.7109375" style="5" bestFit="1" customWidth="1"/>
    <col min="7179" max="7179" width="8.85546875" style="5" bestFit="1" customWidth="1"/>
    <col min="7180" max="7180" width="8.5703125" style="5" customWidth="1"/>
    <col min="7181" max="7181" width="8.85546875" style="5" customWidth="1"/>
    <col min="7182" max="7182" width="8" style="5" customWidth="1"/>
    <col min="7183" max="7183" width="8.140625" style="5" customWidth="1"/>
    <col min="7184" max="7184" width="8" style="5" customWidth="1"/>
    <col min="7185" max="7185" width="8.85546875" style="5" customWidth="1"/>
    <col min="7186" max="7190" width="0" style="5" hidden="1" customWidth="1"/>
    <col min="7191" max="7191" width="7.85546875" style="5" bestFit="1" customWidth="1"/>
    <col min="7192" max="7192" width="9" style="5" bestFit="1" customWidth="1"/>
    <col min="7193" max="7193" width="9.5703125" style="5" bestFit="1" customWidth="1"/>
    <col min="7194" max="7194" width="8.5703125" style="5" bestFit="1" customWidth="1"/>
    <col min="7195" max="7195" width="9.5703125" style="5" bestFit="1" customWidth="1"/>
    <col min="7196" max="7424" width="9.140625" style="5"/>
    <col min="7425" max="7425" width="9" style="5" bestFit="1" customWidth="1"/>
    <col min="7426" max="7426" width="15.7109375" style="5" bestFit="1" customWidth="1"/>
    <col min="7427" max="7427" width="5.5703125" style="5" bestFit="1" customWidth="1"/>
    <col min="7428" max="7428" width="10.85546875" style="5" bestFit="1" customWidth="1"/>
    <col min="7429" max="7429" width="7.28515625" style="5" customWidth="1"/>
    <col min="7430" max="7430" width="11.42578125" style="5" bestFit="1" customWidth="1"/>
    <col min="7431" max="7431" width="5.7109375" style="5" bestFit="1" customWidth="1"/>
    <col min="7432" max="7432" width="6" style="5" bestFit="1" customWidth="1"/>
    <col min="7433" max="7433" width="8.140625" style="5" customWidth="1"/>
    <col min="7434" max="7434" width="9.7109375" style="5" bestFit="1" customWidth="1"/>
    <col min="7435" max="7435" width="8.85546875" style="5" bestFit="1" customWidth="1"/>
    <col min="7436" max="7436" width="8.5703125" style="5" customWidth="1"/>
    <col min="7437" max="7437" width="8.85546875" style="5" customWidth="1"/>
    <col min="7438" max="7438" width="8" style="5" customWidth="1"/>
    <col min="7439" max="7439" width="8.140625" style="5" customWidth="1"/>
    <col min="7440" max="7440" width="8" style="5" customWidth="1"/>
    <col min="7441" max="7441" width="8.85546875" style="5" customWidth="1"/>
    <col min="7442" max="7446" width="0" style="5" hidden="1" customWidth="1"/>
    <col min="7447" max="7447" width="7.85546875" style="5" bestFit="1" customWidth="1"/>
    <col min="7448" max="7448" width="9" style="5" bestFit="1" customWidth="1"/>
    <col min="7449" max="7449" width="9.5703125" style="5" bestFit="1" customWidth="1"/>
    <col min="7450" max="7450" width="8.5703125" style="5" bestFit="1" customWidth="1"/>
    <col min="7451" max="7451" width="9.5703125" style="5" bestFit="1" customWidth="1"/>
    <col min="7452" max="7680" width="9.140625" style="5"/>
    <col min="7681" max="7681" width="9" style="5" bestFit="1" customWidth="1"/>
    <col min="7682" max="7682" width="15.7109375" style="5" bestFit="1" customWidth="1"/>
    <col min="7683" max="7683" width="5.5703125" style="5" bestFit="1" customWidth="1"/>
    <col min="7684" max="7684" width="10.85546875" style="5" bestFit="1" customWidth="1"/>
    <col min="7685" max="7685" width="7.28515625" style="5" customWidth="1"/>
    <col min="7686" max="7686" width="11.42578125" style="5" bestFit="1" customWidth="1"/>
    <col min="7687" max="7687" width="5.7109375" style="5" bestFit="1" customWidth="1"/>
    <col min="7688" max="7688" width="6" style="5" bestFit="1" customWidth="1"/>
    <col min="7689" max="7689" width="8.140625" style="5" customWidth="1"/>
    <col min="7690" max="7690" width="9.7109375" style="5" bestFit="1" customWidth="1"/>
    <col min="7691" max="7691" width="8.85546875" style="5" bestFit="1" customWidth="1"/>
    <col min="7692" max="7692" width="8.5703125" style="5" customWidth="1"/>
    <col min="7693" max="7693" width="8.85546875" style="5" customWidth="1"/>
    <col min="7694" max="7694" width="8" style="5" customWidth="1"/>
    <col min="7695" max="7695" width="8.140625" style="5" customWidth="1"/>
    <col min="7696" max="7696" width="8" style="5" customWidth="1"/>
    <col min="7697" max="7697" width="8.85546875" style="5" customWidth="1"/>
    <col min="7698" max="7702" width="0" style="5" hidden="1" customWidth="1"/>
    <col min="7703" max="7703" width="7.85546875" style="5" bestFit="1" customWidth="1"/>
    <col min="7704" max="7704" width="9" style="5" bestFit="1" customWidth="1"/>
    <col min="7705" max="7705" width="9.5703125" style="5" bestFit="1" customWidth="1"/>
    <col min="7706" max="7706" width="8.5703125" style="5" bestFit="1" customWidth="1"/>
    <col min="7707" max="7707" width="9.5703125" style="5" bestFit="1" customWidth="1"/>
    <col min="7708" max="7936" width="9.140625" style="5"/>
    <col min="7937" max="7937" width="9" style="5" bestFit="1" customWidth="1"/>
    <col min="7938" max="7938" width="15.7109375" style="5" bestFit="1" customWidth="1"/>
    <col min="7939" max="7939" width="5.5703125" style="5" bestFit="1" customWidth="1"/>
    <col min="7940" max="7940" width="10.85546875" style="5" bestFit="1" customWidth="1"/>
    <col min="7941" max="7941" width="7.28515625" style="5" customWidth="1"/>
    <col min="7942" max="7942" width="11.42578125" style="5" bestFit="1" customWidth="1"/>
    <col min="7943" max="7943" width="5.7109375" style="5" bestFit="1" customWidth="1"/>
    <col min="7944" max="7944" width="6" style="5" bestFit="1" customWidth="1"/>
    <col min="7945" max="7945" width="8.140625" style="5" customWidth="1"/>
    <col min="7946" max="7946" width="9.7109375" style="5" bestFit="1" customWidth="1"/>
    <col min="7947" max="7947" width="8.85546875" style="5" bestFit="1" customWidth="1"/>
    <col min="7948" max="7948" width="8.5703125" style="5" customWidth="1"/>
    <col min="7949" max="7949" width="8.85546875" style="5" customWidth="1"/>
    <col min="7950" max="7950" width="8" style="5" customWidth="1"/>
    <col min="7951" max="7951" width="8.140625" style="5" customWidth="1"/>
    <col min="7952" max="7952" width="8" style="5" customWidth="1"/>
    <col min="7953" max="7953" width="8.85546875" style="5" customWidth="1"/>
    <col min="7954" max="7958" width="0" style="5" hidden="1" customWidth="1"/>
    <col min="7959" max="7959" width="7.85546875" style="5" bestFit="1" customWidth="1"/>
    <col min="7960" max="7960" width="9" style="5" bestFit="1" customWidth="1"/>
    <col min="7961" max="7961" width="9.5703125" style="5" bestFit="1" customWidth="1"/>
    <col min="7962" max="7962" width="8.5703125" style="5" bestFit="1" customWidth="1"/>
    <col min="7963" max="7963" width="9.5703125" style="5" bestFit="1" customWidth="1"/>
    <col min="7964" max="8192" width="9.140625" style="5"/>
    <col min="8193" max="8193" width="9" style="5" bestFit="1" customWidth="1"/>
    <col min="8194" max="8194" width="15.7109375" style="5" bestFit="1" customWidth="1"/>
    <col min="8195" max="8195" width="5.5703125" style="5" bestFit="1" customWidth="1"/>
    <col min="8196" max="8196" width="10.85546875" style="5" bestFit="1" customWidth="1"/>
    <col min="8197" max="8197" width="7.28515625" style="5" customWidth="1"/>
    <col min="8198" max="8198" width="11.42578125" style="5" bestFit="1" customWidth="1"/>
    <col min="8199" max="8199" width="5.7109375" style="5" bestFit="1" customWidth="1"/>
    <col min="8200" max="8200" width="6" style="5" bestFit="1" customWidth="1"/>
    <col min="8201" max="8201" width="8.140625" style="5" customWidth="1"/>
    <col min="8202" max="8202" width="9.7109375" style="5" bestFit="1" customWidth="1"/>
    <col min="8203" max="8203" width="8.85546875" style="5" bestFit="1" customWidth="1"/>
    <col min="8204" max="8204" width="8.5703125" style="5" customWidth="1"/>
    <col min="8205" max="8205" width="8.85546875" style="5" customWidth="1"/>
    <col min="8206" max="8206" width="8" style="5" customWidth="1"/>
    <col min="8207" max="8207" width="8.140625" style="5" customWidth="1"/>
    <col min="8208" max="8208" width="8" style="5" customWidth="1"/>
    <col min="8209" max="8209" width="8.85546875" style="5" customWidth="1"/>
    <col min="8210" max="8214" width="0" style="5" hidden="1" customWidth="1"/>
    <col min="8215" max="8215" width="7.85546875" style="5" bestFit="1" customWidth="1"/>
    <col min="8216" max="8216" width="9" style="5" bestFit="1" customWidth="1"/>
    <col min="8217" max="8217" width="9.5703125" style="5" bestFit="1" customWidth="1"/>
    <col min="8218" max="8218" width="8.5703125" style="5" bestFit="1" customWidth="1"/>
    <col min="8219" max="8219" width="9.5703125" style="5" bestFit="1" customWidth="1"/>
    <col min="8220" max="8448" width="9.140625" style="5"/>
    <col min="8449" max="8449" width="9" style="5" bestFit="1" customWidth="1"/>
    <col min="8450" max="8450" width="15.7109375" style="5" bestFit="1" customWidth="1"/>
    <col min="8451" max="8451" width="5.5703125" style="5" bestFit="1" customWidth="1"/>
    <col min="8452" max="8452" width="10.85546875" style="5" bestFit="1" customWidth="1"/>
    <col min="8453" max="8453" width="7.28515625" style="5" customWidth="1"/>
    <col min="8454" max="8454" width="11.42578125" style="5" bestFit="1" customWidth="1"/>
    <col min="8455" max="8455" width="5.7109375" style="5" bestFit="1" customWidth="1"/>
    <col min="8456" max="8456" width="6" style="5" bestFit="1" customWidth="1"/>
    <col min="8457" max="8457" width="8.140625" style="5" customWidth="1"/>
    <col min="8458" max="8458" width="9.7109375" style="5" bestFit="1" customWidth="1"/>
    <col min="8459" max="8459" width="8.85546875" style="5" bestFit="1" customWidth="1"/>
    <col min="8460" max="8460" width="8.5703125" style="5" customWidth="1"/>
    <col min="8461" max="8461" width="8.85546875" style="5" customWidth="1"/>
    <col min="8462" max="8462" width="8" style="5" customWidth="1"/>
    <col min="8463" max="8463" width="8.140625" style="5" customWidth="1"/>
    <col min="8464" max="8464" width="8" style="5" customWidth="1"/>
    <col min="8465" max="8465" width="8.85546875" style="5" customWidth="1"/>
    <col min="8466" max="8470" width="0" style="5" hidden="1" customWidth="1"/>
    <col min="8471" max="8471" width="7.85546875" style="5" bestFit="1" customWidth="1"/>
    <col min="8472" max="8472" width="9" style="5" bestFit="1" customWidth="1"/>
    <col min="8473" max="8473" width="9.5703125" style="5" bestFit="1" customWidth="1"/>
    <col min="8474" max="8474" width="8.5703125" style="5" bestFit="1" customWidth="1"/>
    <col min="8475" max="8475" width="9.5703125" style="5" bestFit="1" customWidth="1"/>
    <col min="8476" max="8704" width="9.140625" style="5"/>
    <col min="8705" max="8705" width="9" style="5" bestFit="1" customWidth="1"/>
    <col min="8706" max="8706" width="15.7109375" style="5" bestFit="1" customWidth="1"/>
    <col min="8707" max="8707" width="5.5703125" style="5" bestFit="1" customWidth="1"/>
    <col min="8708" max="8708" width="10.85546875" style="5" bestFit="1" customWidth="1"/>
    <col min="8709" max="8709" width="7.28515625" style="5" customWidth="1"/>
    <col min="8710" max="8710" width="11.42578125" style="5" bestFit="1" customWidth="1"/>
    <col min="8711" max="8711" width="5.7109375" style="5" bestFit="1" customWidth="1"/>
    <col min="8712" max="8712" width="6" style="5" bestFit="1" customWidth="1"/>
    <col min="8713" max="8713" width="8.140625" style="5" customWidth="1"/>
    <col min="8714" max="8714" width="9.7109375" style="5" bestFit="1" customWidth="1"/>
    <col min="8715" max="8715" width="8.85546875" style="5" bestFit="1" customWidth="1"/>
    <col min="8716" max="8716" width="8.5703125" style="5" customWidth="1"/>
    <col min="8717" max="8717" width="8.85546875" style="5" customWidth="1"/>
    <col min="8718" max="8718" width="8" style="5" customWidth="1"/>
    <col min="8719" max="8719" width="8.140625" style="5" customWidth="1"/>
    <col min="8720" max="8720" width="8" style="5" customWidth="1"/>
    <col min="8721" max="8721" width="8.85546875" style="5" customWidth="1"/>
    <col min="8722" max="8726" width="0" style="5" hidden="1" customWidth="1"/>
    <col min="8727" max="8727" width="7.85546875" style="5" bestFit="1" customWidth="1"/>
    <col min="8728" max="8728" width="9" style="5" bestFit="1" customWidth="1"/>
    <col min="8729" max="8729" width="9.5703125" style="5" bestFit="1" customWidth="1"/>
    <col min="8730" max="8730" width="8.5703125" style="5" bestFit="1" customWidth="1"/>
    <col min="8731" max="8731" width="9.5703125" style="5" bestFit="1" customWidth="1"/>
    <col min="8732" max="8960" width="9.140625" style="5"/>
    <col min="8961" max="8961" width="9" style="5" bestFit="1" customWidth="1"/>
    <col min="8962" max="8962" width="15.7109375" style="5" bestFit="1" customWidth="1"/>
    <col min="8963" max="8963" width="5.5703125" style="5" bestFit="1" customWidth="1"/>
    <col min="8964" max="8964" width="10.85546875" style="5" bestFit="1" customWidth="1"/>
    <col min="8965" max="8965" width="7.28515625" style="5" customWidth="1"/>
    <col min="8966" max="8966" width="11.42578125" style="5" bestFit="1" customWidth="1"/>
    <col min="8967" max="8967" width="5.7109375" style="5" bestFit="1" customWidth="1"/>
    <col min="8968" max="8968" width="6" style="5" bestFit="1" customWidth="1"/>
    <col min="8969" max="8969" width="8.140625" style="5" customWidth="1"/>
    <col min="8970" max="8970" width="9.7109375" style="5" bestFit="1" customWidth="1"/>
    <col min="8971" max="8971" width="8.85546875" style="5" bestFit="1" customWidth="1"/>
    <col min="8972" max="8972" width="8.5703125" style="5" customWidth="1"/>
    <col min="8973" max="8973" width="8.85546875" style="5" customWidth="1"/>
    <col min="8974" max="8974" width="8" style="5" customWidth="1"/>
    <col min="8975" max="8975" width="8.140625" style="5" customWidth="1"/>
    <col min="8976" max="8976" width="8" style="5" customWidth="1"/>
    <col min="8977" max="8977" width="8.85546875" style="5" customWidth="1"/>
    <col min="8978" max="8982" width="0" style="5" hidden="1" customWidth="1"/>
    <col min="8983" max="8983" width="7.85546875" style="5" bestFit="1" customWidth="1"/>
    <col min="8984" max="8984" width="9" style="5" bestFit="1" customWidth="1"/>
    <col min="8985" max="8985" width="9.5703125" style="5" bestFit="1" customWidth="1"/>
    <col min="8986" max="8986" width="8.5703125" style="5" bestFit="1" customWidth="1"/>
    <col min="8987" max="8987" width="9.5703125" style="5" bestFit="1" customWidth="1"/>
    <col min="8988" max="9216" width="9.140625" style="5"/>
    <col min="9217" max="9217" width="9" style="5" bestFit="1" customWidth="1"/>
    <col min="9218" max="9218" width="15.7109375" style="5" bestFit="1" customWidth="1"/>
    <col min="9219" max="9219" width="5.5703125" style="5" bestFit="1" customWidth="1"/>
    <col min="9220" max="9220" width="10.85546875" style="5" bestFit="1" customWidth="1"/>
    <col min="9221" max="9221" width="7.28515625" style="5" customWidth="1"/>
    <col min="9222" max="9222" width="11.42578125" style="5" bestFit="1" customWidth="1"/>
    <col min="9223" max="9223" width="5.7109375" style="5" bestFit="1" customWidth="1"/>
    <col min="9224" max="9224" width="6" style="5" bestFit="1" customWidth="1"/>
    <col min="9225" max="9225" width="8.140625" style="5" customWidth="1"/>
    <col min="9226" max="9226" width="9.7109375" style="5" bestFit="1" customWidth="1"/>
    <col min="9227" max="9227" width="8.85546875" style="5" bestFit="1" customWidth="1"/>
    <col min="9228" max="9228" width="8.5703125" style="5" customWidth="1"/>
    <col min="9229" max="9229" width="8.85546875" style="5" customWidth="1"/>
    <col min="9230" max="9230" width="8" style="5" customWidth="1"/>
    <col min="9231" max="9231" width="8.140625" style="5" customWidth="1"/>
    <col min="9232" max="9232" width="8" style="5" customWidth="1"/>
    <col min="9233" max="9233" width="8.85546875" style="5" customWidth="1"/>
    <col min="9234" max="9238" width="0" style="5" hidden="1" customWidth="1"/>
    <col min="9239" max="9239" width="7.85546875" style="5" bestFit="1" customWidth="1"/>
    <col min="9240" max="9240" width="9" style="5" bestFit="1" customWidth="1"/>
    <col min="9241" max="9241" width="9.5703125" style="5" bestFit="1" customWidth="1"/>
    <col min="9242" max="9242" width="8.5703125" style="5" bestFit="1" customWidth="1"/>
    <col min="9243" max="9243" width="9.5703125" style="5" bestFit="1" customWidth="1"/>
    <col min="9244" max="9472" width="9.140625" style="5"/>
    <col min="9473" max="9473" width="9" style="5" bestFit="1" customWidth="1"/>
    <col min="9474" max="9474" width="15.7109375" style="5" bestFit="1" customWidth="1"/>
    <col min="9475" max="9475" width="5.5703125" style="5" bestFit="1" customWidth="1"/>
    <col min="9476" max="9476" width="10.85546875" style="5" bestFit="1" customWidth="1"/>
    <col min="9477" max="9477" width="7.28515625" style="5" customWidth="1"/>
    <col min="9478" max="9478" width="11.42578125" style="5" bestFit="1" customWidth="1"/>
    <col min="9479" max="9479" width="5.7109375" style="5" bestFit="1" customWidth="1"/>
    <col min="9480" max="9480" width="6" style="5" bestFit="1" customWidth="1"/>
    <col min="9481" max="9481" width="8.140625" style="5" customWidth="1"/>
    <col min="9482" max="9482" width="9.7109375" style="5" bestFit="1" customWidth="1"/>
    <col min="9483" max="9483" width="8.85546875" style="5" bestFit="1" customWidth="1"/>
    <col min="9484" max="9484" width="8.5703125" style="5" customWidth="1"/>
    <col min="9485" max="9485" width="8.85546875" style="5" customWidth="1"/>
    <col min="9486" max="9486" width="8" style="5" customWidth="1"/>
    <col min="9487" max="9487" width="8.140625" style="5" customWidth="1"/>
    <col min="9488" max="9488" width="8" style="5" customWidth="1"/>
    <col min="9489" max="9489" width="8.85546875" style="5" customWidth="1"/>
    <col min="9490" max="9494" width="0" style="5" hidden="1" customWidth="1"/>
    <col min="9495" max="9495" width="7.85546875" style="5" bestFit="1" customWidth="1"/>
    <col min="9496" max="9496" width="9" style="5" bestFit="1" customWidth="1"/>
    <col min="9497" max="9497" width="9.5703125" style="5" bestFit="1" customWidth="1"/>
    <col min="9498" max="9498" width="8.5703125" style="5" bestFit="1" customWidth="1"/>
    <col min="9499" max="9499" width="9.5703125" style="5" bestFit="1" customWidth="1"/>
    <col min="9500" max="9728" width="9.140625" style="5"/>
    <col min="9729" max="9729" width="9" style="5" bestFit="1" customWidth="1"/>
    <col min="9730" max="9730" width="15.7109375" style="5" bestFit="1" customWidth="1"/>
    <col min="9731" max="9731" width="5.5703125" style="5" bestFit="1" customWidth="1"/>
    <col min="9732" max="9732" width="10.85546875" style="5" bestFit="1" customWidth="1"/>
    <col min="9733" max="9733" width="7.28515625" style="5" customWidth="1"/>
    <col min="9734" max="9734" width="11.42578125" style="5" bestFit="1" customWidth="1"/>
    <col min="9735" max="9735" width="5.7109375" style="5" bestFit="1" customWidth="1"/>
    <col min="9736" max="9736" width="6" style="5" bestFit="1" customWidth="1"/>
    <col min="9737" max="9737" width="8.140625" style="5" customWidth="1"/>
    <col min="9738" max="9738" width="9.7109375" style="5" bestFit="1" customWidth="1"/>
    <col min="9739" max="9739" width="8.85546875" style="5" bestFit="1" customWidth="1"/>
    <col min="9740" max="9740" width="8.5703125" style="5" customWidth="1"/>
    <col min="9741" max="9741" width="8.85546875" style="5" customWidth="1"/>
    <col min="9742" max="9742" width="8" style="5" customWidth="1"/>
    <col min="9743" max="9743" width="8.140625" style="5" customWidth="1"/>
    <col min="9744" max="9744" width="8" style="5" customWidth="1"/>
    <col min="9745" max="9745" width="8.85546875" style="5" customWidth="1"/>
    <col min="9746" max="9750" width="0" style="5" hidden="1" customWidth="1"/>
    <col min="9751" max="9751" width="7.85546875" style="5" bestFit="1" customWidth="1"/>
    <col min="9752" max="9752" width="9" style="5" bestFit="1" customWidth="1"/>
    <col min="9753" max="9753" width="9.5703125" style="5" bestFit="1" customWidth="1"/>
    <col min="9754" max="9754" width="8.5703125" style="5" bestFit="1" customWidth="1"/>
    <col min="9755" max="9755" width="9.5703125" style="5" bestFit="1" customWidth="1"/>
    <col min="9756" max="9984" width="9.140625" style="5"/>
    <col min="9985" max="9985" width="9" style="5" bestFit="1" customWidth="1"/>
    <col min="9986" max="9986" width="15.7109375" style="5" bestFit="1" customWidth="1"/>
    <col min="9987" max="9987" width="5.5703125" style="5" bestFit="1" customWidth="1"/>
    <col min="9988" max="9988" width="10.85546875" style="5" bestFit="1" customWidth="1"/>
    <col min="9989" max="9989" width="7.28515625" style="5" customWidth="1"/>
    <col min="9990" max="9990" width="11.42578125" style="5" bestFit="1" customWidth="1"/>
    <col min="9991" max="9991" width="5.7109375" style="5" bestFit="1" customWidth="1"/>
    <col min="9992" max="9992" width="6" style="5" bestFit="1" customWidth="1"/>
    <col min="9993" max="9993" width="8.140625" style="5" customWidth="1"/>
    <col min="9994" max="9994" width="9.7109375" style="5" bestFit="1" customWidth="1"/>
    <col min="9995" max="9995" width="8.85546875" style="5" bestFit="1" customWidth="1"/>
    <col min="9996" max="9996" width="8.5703125" style="5" customWidth="1"/>
    <col min="9997" max="9997" width="8.85546875" style="5" customWidth="1"/>
    <col min="9998" max="9998" width="8" style="5" customWidth="1"/>
    <col min="9999" max="9999" width="8.140625" style="5" customWidth="1"/>
    <col min="10000" max="10000" width="8" style="5" customWidth="1"/>
    <col min="10001" max="10001" width="8.85546875" style="5" customWidth="1"/>
    <col min="10002" max="10006" width="0" style="5" hidden="1" customWidth="1"/>
    <col min="10007" max="10007" width="7.85546875" style="5" bestFit="1" customWidth="1"/>
    <col min="10008" max="10008" width="9" style="5" bestFit="1" customWidth="1"/>
    <col min="10009" max="10009" width="9.5703125" style="5" bestFit="1" customWidth="1"/>
    <col min="10010" max="10010" width="8.5703125" style="5" bestFit="1" customWidth="1"/>
    <col min="10011" max="10011" width="9.5703125" style="5" bestFit="1" customWidth="1"/>
    <col min="10012" max="10240" width="9.140625" style="5"/>
    <col min="10241" max="10241" width="9" style="5" bestFit="1" customWidth="1"/>
    <col min="10242" max="10242" width="15.7109375" style="5" bestFit="1" customWidth="1"/>
    <col min="10243" max="10243" width="5.5703125" style="5" bestFit="1" customWidth="1"/>
    <col min="10244" max="10244" width="10.85546875" style="5" bestFit="1" customWidth="1"/>
    <col min="10245" max="10245" width="7.28515625" style="5" customWidth="1"/>
    <col min="10246" max="10246" width="11.42578125" style="5" bestFit="1" customWidth="1"/>
    <col min="10247" max="10247" width="5.7109375" style="5" bestFit="1" customWidth="1"/>
    <col min="10248" max="10248" width="6" style="5" bestFit="1" customWidth="1"/>
    <col min="10249" max="10249" width="8.140625" style="5" customWidth="1"/>
    <col min="10250" max="10250" width="9.7109375" style="5" bestFit="1" customWidth="1"/>
    <col min="10251" max="10251" width="8.85546875" style="5" bestFit="1" customWidth="1"/>
    <col min="10252" max="10252" width="8.5703125" style="5" customWidth="1"/>
    <col min="10253" max="10253" width="8.85546875" style="5" customWidth="1"/>
    <col min="10254" max="10254" width="8" style="5" customWidth="1"/>
    <col min="10255" max="10255" width="8.140625" style="5" customWidth="1"/>
    <col min="10256" max="10256" width="8" style="5" customWidth="1"/>
    <col min="10257" max="10257" width="8.85546875" style="5" customWidth="1"/>
    <col min="10258" max="10262" width="0" style="5" hidden="1" customWidth="1"/>
    <col min="10263" max="10263" width="7.85546875" style="5" bestFit="1" customWidth="1"/>
    <col min="10264" max="10264" width="9" style="5" bestFit="1" customWidth="1"/>
    <col min="10265" max="10265" width="9.5703125" style="5" bestFit="1" customWidth="1"/>
    <col min="10266" max="10266" width="8.5703125" style="5" bestFit="1" customWidth="1"/>
    <col min="10267" max="10267" width="9.5703125" style="5" bestFit="1" customWidth="1"/>
    <col min="10268" max="10496" width="9.140625" style="5"/>
    <col min="10497" max="10497" width="9" style="5" bestFit="1" customWidth="1"/>
    <col min="10498" max="10498" width="15.7109375" style="5" bestFit="1" customWidth="1"/>
    <col min="10499" max="10499" width="5.5703125" style="5" bestFit="1" customWidth="1"/>
    <col min="10500" max="10500" width="10.85546875" style="5" bestFit="1" customWidth="1"/>
    <col min="10501" max="10501" width="7.28515625" style="5" customWidth="1"/>
    <col min="10502" max="10502" width="11.42578125" style="5" bestFit="1" customWidth="1"/>
    <col min="10503" max="10503" width="5.7109375" style="5" bestFit="1" customWidth="1"/>
    <col min="10504" max="10504" width="6" style="5" bestFit="1" customWidth="1"/>
    <col min="10505" max="10505" width="8.140625" style="5" customWidth="1"/>
    <col min="10506" max="10506" width="9.7109375" style="5" bestFit="1" customWidth="1"/>
    <col min="10507" max="10507" width="8.85546875" style="5" bestFit="1" customWidth="1"/>
    <col min="10508" max="10508" width="8.5703125" style="5" customWidth="1"/>
    <col min="10509" max="10509" width="8.85546875" style="5" customWidth="1"/>
    <col min="10510" max="10510" width="8" style="5" customWidth="1"/>
    <col min="10511" max="10511" width="8.140625" style="5" customWidth="1"/>
    <col min="10512" max="10512" width="8" style="5" customWidth="1"/>
    <col min="10513" max="10513" width="8.85546875" style="5" customWidth="1"/>
    <col min="10514" max="10518" width="0" style="5" hidden="1" customWidth="1"/>
    <col min="10519" max="10519" width="7.85546875" style="5" bestFit="1" customWidth="1"/>
    <col min="10520" max="10520" width="9" style="5" bestFit="1" customWidth="1"/>
    <col min="10521" max="10521" width="9.5703125" style="5" bestFit="1" customWidth="1"/>
    <col min="10522" max="10522" width="8.5703125" style="5" bestFit="1" customWidth="1"/>
    <col min="10523" max="10523" width="9.5703125" style="5" bestFit="1" customWidth="1"/>
    <col min="10524" max="10752" width="9.140625" style="5"/>
    <col min="10753" max="10753" width="9" style="5" bestFit="1" customWidth="1"/>
    <col min="10754" max="10754" width="15.7109375" style="5" bestFit="1" customWidth="1"/>
    <col min="10755" max="10755" width="5.5703125" style="5" bestFit="1" customWidth="1"/>
    <col min="10756" max="10756" width="10.85546875" style="5" bestFit="1" customWidth="1"/>
    <col min="10757" max="10757" width="7.28515625" style="5" customWidth="1"/>
    <col min="10758" max="10758" width="11.42578125" style="5" bestFit="1" customWidth="1"/>
    <col min="10759" max="10759" width="5.7109375" style="5" bestFit="1" customWidth="1"/>
    <col min="10760" max="10760" width="6" style="5" bestFit="1" customWidth="1"/>
    <col min="10761" max="10761" width="8.140625" style="5" customWidth="1"/>
    <col min="10762" max="10762" width="9.7109375" style="5" bestFit="1" customWidth="1"/>
    <col min="10763" max="10763" width="8.85546875" style="5" bestFit="1" customWidth="1"/>
    <col min="10764" max="10764" width="8.5703125" style="5" customWidth="1"/>
    <col min="10765" max="10765" width="8.85546875" style="5" customWidth="1"/>
    <col min="10766" max="10766" width="8" style="5" customWidth="1"/>
    <col min="10767" max="10767" width="8.140625" style="5" customWidth="1"/>
    <col min="10768" max="10768" width="8" style="5" customWidth="1"/>
    <col min="10769" max="10769" width="8.85546875" style="5" customWidth="1"/>
    <col min="10770" max="10774" width="0" style="5" hidden="1" customWidth="1"/>
    <col min="10775" max="10775" width="7.85546875" style="5" bestFit="1" customWidth="1"/>
    <col min="10776" max="10776" width="9" style="5" bestFit="1" customWidth="1"/>
    <col min="10777" max="10777" width="9.5703125" style="5" bestFit="1" customWidth="1"/>
    <col min="10778" max="10778" width="8.5703125" style="5" bestFit="1" customWidth="1"/>
    <col min="10779" max="10779" width="9.5703125" style="5" bestFit="1" customWidth="1"/>
    <col min="10780" max="11008" width="9.140625" style="5"/>
    <col min="11009" max="11009" width="9" style="5" bestFit="1" customWidth="1"/>
    <col min="11010" max="11010" width="15.7109375" style="5" bestFit="1" customWidth="1"/>
    <col min="11011" max="11011" width="5.5703125" style="5" bestFit="1" customWidth="1"/>
    <col min="11012" max="11012" width="10.85546875" style="5" bestFit="1" customWidth="1"/>
    <col min="11013" max="11013" width="7.28515625" style="5" customWidth="1"/>
    <col min="11014" max="11014" width="11.42578125" style="5" bestFit="1" customWidth="1"/>
    <col min="11015" max="11015" width="5.7109375" style="5" bestFit="1" customWidth="1"/>
    <col min="11016" max="11016" width="6" style="5" bestFit="1" customWidth="1"/>
    <col min="11017" max="11017" width="8.140625" style="5" customWidth="1"/>
    <col min="11018" max="11018" width="9.7109375" style="5" bestFit="1" customWidth="1"/>
    <col min="11019" max="11019" width="8.85546875" style="5" bestFit="1" customWidth="1"/>
    <col min="11020" max="11020" width="8.5703125" style="5" customWidth="1"/>
    <col min="11021" max="11021" width="8.85546875" style="5" customWidth="1"/>
    <col min="11022" max="11022" width="8" style="5" customWidth="1"/>
    <col min="11023" max="11023" width="8.140625" style="5" customWidth="1"/>
    <col min="11024" max="11024" width="8" style="5" customWidth="1"/>
    <col min="11025" max="11025" width="8.85546875" style="5" customWidth="1"/>
    <col min="11026" max="11030" width="0" style="5" hidden="1" customWidth="1"/>
    <col min="11031" max="11031" width="7.85546875" style="5" bestFit="1" customWidth="1"/>
    <col min="11032" max="11032" width="9" style="5" bestFit="1" customWidth="1"/>
    <col min="11033" max="11033" width="9.5703125" style="5" bestFit="1" customWidth="1"/>
    <col min="11034" max="11034" width="8.5703125" style="5" bestFit="1" customWidth="1"/>
    <col min="11035" max="11035" width="9.5703125" style="5" bestFit="1" customWidth="1"/>
    <col min="11036" max="11264" width="9.140625" style="5"/>
    <col min="11265" max="11265" width="9" style="5" bestFit="1" customWidth="1"/>
    <col min="11266" max="11266" width="15.7109375" style="5" bestFit="1" customWidth="1"/>
    <col min="11267" max="11267" width="5.5703125" style="5" bestFit="1" customWidth="1"/>
    <col min="11268" max="11268" width="10.85546875" style="5" bestFit="1" customWidth="1"/>
    <col min="11269" max="11269" width="7.28515625" style="5" customWidth="1"/>
    <col min="11270" max="11270" width="11.42578125" style="5" bestFit="1" customWidth="1"/>
    <col min="11271" max="11271" width="5.7109375" style="5" bestFit="1" customWidth="1"/>
    <col min="11272" max="11272" width="6" style="5" bestFit="1" customWidth="1"/>
    <col min="11273" max="11273" width="8.140625" style="5" customWidth="1"/>
    <col min="11274" max="11274" width="9.7109375" style="5" bestFit="1" customWidth="1"/>
    <col min="11275" max="11275" width="8.85546875" style="5" bestFit="1" customWidth="1"/>
    <col min="11276" max="11276" width="8.5703125" style="5" customWidth="1"/>
    <col min="11277" max="11277" width="8.85546875" style="5" customWidth="1"/>
    <col min="11278" max="11278" width="8" style="5" customWidth="1"/>
    <col min="11279" max="11279" width="8.140625" style="5" customWidth="1"/>
    <col min="11280" max="11280" width="8" style="5" customWidth="1"/>
    <col min="11281" max="11281" width="8.85546875" style="5" customWidth="1"/>
    <col min="11282" max="11286" width="0" style="5" hidden="1" customWidth="1"/>
    <col min="11287" max="11287" width="7.85546875" style="5" bestFit="1" customWidth="1"/>
    <col min="11288" max="11288" width="9" style="5" bestFit="1" customWidth="1"/>
    <col min="11289" max="11289" width="9.5703125" style="5" bestFit="1" customWidth="1"/>
    <col min="11290" max="11290" width="8.5703125" style="5" bestFit="1" customWidth="1"/>
    <col min="11291" max="11291" width="9.5703125" style="5" bestFit="1" customWidth="1"/>
    <col min="11292" max="11520" width="9.140625" style="5"/>
    <col min="11521" max="11521" width="9" style="5" bestFit="1" customWidth="1"/>
    <col min="11522" max="11522" width="15.7109375" style="5" bestFit="1" customWidth="1"/>
    <col min="11523" max="11523" width="5.5703125" style="5" bestFit="1" customWidth="1"/>
    <col min="11524" max="11524" width="10.85546875" style="5" bestFit="1" customWidth="1"/>
    <col min="11525" max="11525" width="7.28515625" style="5" customWidth="1"/>
    <col min="11526" max="11526" width="11.42578125" style="5" bestFit="1" customWidth="1"/>
    <col min="11527" max="11527" width="5.7109375" style="5" bestFit="1" customWidth="1"/>
    <col min="11528" max="11528" width="6" style="5" bestFit="1" customWidth="1"/>
    <col min="11529" max="11529" width="8.140625" style="5" customWidth="1"/>
    <col min="11530" max="11530" width="9.7109375" style="5" bestFit="1" customWidth="1"/>
    <col min="11531" max="11531" width="8.85546875" style="5" bestFit="1" customWidth="1"/>
    <col min="11532" max="11532" width="8.5703125" style="5" customWidth="1"/>
    <col min="11533" max="11533" width="8.85546875" style="5" customWidth="1"/>
    <col min="11534" max="11534" width="8" style="5" customWidth="1"/>
    <col min="11535" max="11535" width="8.140625" style="5" customWidth="1"/>
    <col min="11536" max="11536" width="8" style="5" customWidth="1"/>
    <col min="11537" max="11537" width="8.85546875" style="5" customWidth="1"/>
    <col min="11538" max="11542" width="0" style="5" hidden="1" customWidth="1"/>
    <col min="11543" max="11543" width="7.85546875" style="5" bestFit="1" customWidth="1"/>
    <col min="11544" max="11544" width="9" style="5" bestFit="1" customWidth="1"/>
    <col min="11545" max="11545" width="9.5703125" style="5" bestFit="1" customWidth="1"/>
    <col min="11546" max="11546" width="8.5703125" style="5" bestFit="1" customWidth="1"/>
    <col min="11547" max="11547" width="9.5703125" style="5" bestFit="1" customWidth="1"/>
    <col min="11548" max="11776" width="9.140625" style="5"/>
    <col min="11777" max="11777" width="9" style="5" bestFit="1" customWidth="1"/>
    <col min="11778" max="11778" width="15.7109375" style="5" bestFit="1" customWidth="1"/>
    <col min="11779" max="11779" width="5.5703125" style="5" bestFit="1" customWidth="1"/>
    <col min="11780" max="11780" width="10.85546875" style="5" bestFit="1" customWidth="1"/>
    <col min="11781" max="11781" width="7.28515625" style="5" customWidth="1"/>
    <col min="11782" max="11782" width="11.42578125" style="5" bestFit="1" customWidth="1"/>
    <col min="11783" max="11783" width="5.7109375" style="5" bestFit="1" customWidth="1"/>
    <col min="11784" max="11784" width="6" style="5" bestFit="1" customWidth="1"/>
    <col min="11785" max="11785" width="8.140625" style="5" customWidth="1"/>
    <col min="11786" max="11786" width="9.7109375" style="5" bestFit="1" customWidth="1"/>
    <col min="11787" max="11787" width="8.85546875" style="5" bestFit="1" customWidth="1"/>
    <col min="11788" max="11788" width="8.5703125" style="5" customWidth="1"/>
    <col min="11789" max="11789" width="8.85546875" style="5" customWidth="1"/>
    <col min="11790" max="11790" width="8" style="5" customWidth="1"/>
    <col min="11791" max="11791" width="8.140625" style="5" customWidth="1"/>
    <col min="11792" max="11792" width="8" style="5" customWidth="1"/>
    <col min="11793" max="11793" width="8.85546875" style="5" customWidth="1"/>
    <col min="11794" max="11798" width="0" style="5" hidden="1" customWidth="1"/>
    <col min="11799" max="11799" width="7.85546875" style="5" bestFit="1" customWidth="1"/>
    <col min="11800" max="11800" width="9" style="5" bestFit="1" customWidth="1"/>
    <col min="11801" max="11801" width="9.5703125" style="5" bestFit="1" customWidth="1"/>
    <col min="11802" max="11802" width="8.5703125" style="5" bestFit="1" customWidth="1"/>
    <col min="11803" max="11803" width="9.5703125" style="5" bestFit="1" customWidth="1"/>
    <col min="11804" max="12032" width="9.140625" style="5"/>
    <col min="12033" max="12033" width="9" style="5" bestFit="1" customWidth="1"/>
    <col min="12034" max="12034" width="15.7109375" style="5" bestFit="1" customWidth="1"/>
    <col min="12035" max="12035" width="5.5703125" style="5" bestFit="1" customWidth="1"/>
    <col min="12036" max="12036" width="10.85546875" style="5" bestFit="1" customWidth="1"/>
    <col min="12037" max="12037" width="7.28515625" style="5" customWidth="1"/>
    <col min="12038" max="12038" width="11.42578125" style="5" bestFit="1" customWidth="1"/>
    <col min="12039" max="12039" width="5.7109375" style="5" bestFit="1" customWidth="1"/>
    <col min="12040" max="12040" width="6" style="5" bestFit="1" customWidth="1"/>
    <col min="12041" max="12041" width="8.140625" style="5" customWidth="1"/>
    <col min="12042" max="12042" width="9.7109375" style="5" bestFit="1" customWidth="1"/>
    <col min="12043" max="12043" width="8.85546875" style="5" bestFit="1" customWidth="1"/>
    <col min="12044" max="12044" width="8.5703125" style="5" customWidth="1"/>
    <col min="12045" max="12045" width="8.85546875" style="5" customWidth="1"/>
    <col min="12046" max="12046" width="8" style="5" customWidth="1"/>
    <col min="12047" max="12047" width="8.140625" style="5" customWidth="1"/>
    <col min="12048" max="12048" width="8" style="5" customWidth="1"/>
    <col min="12049" max="12049" width="8.85546875" style="5" customWidth="1"/>
    <col min="12050" max="12054" width="0" style="5" hidden="1" customWidth="1"/>
    <col min="12055" max="12055" width="7.85546875" style="5" bestFit="1" customWidth="1"/>
    <col min="12056" max="12056" width="9" style="5" bestFit="1" customWidth="1"/>
    <col min="12057" max="12057" width="9.5703125" style="5" bestFit="1" customWidth="1"/>
    <col min="12058" max="12058" width="8.5703125" style="5" bestFit="1" customWidth="1"/>
    <col min="12059" max="12059" width="9.5703125" style="5" bestFit="1" customWidth="1"/>
    <col min="12060" max="12288" width="9.140625" style="5"/>
    <col min="12289" max="12289" width="9" style="5" bestFit="1" customWidth="1"/>
    <col min="12290" max="12290" width="15.7109375" style="5" bestFit="1" customWidth="1"/>
    <col min="12291" max="12291" width="5.5703125" style="5" bestFit="1" customWidth="1"/>
    <col min="12292" max="12292" width="10.85546875" style="5" bestFit="1" customWidth="1"/>
    <col min="12293" max="12293" width="7.28515625" style="5" customWidth="1"/>
    <col min="12294" max="12294" width="11.42578125" style="5" bestFit="1" customWidth="1"/>
    <col min="12295" max="12295" width="5.7109375" style="5" bestFit="1" customWidth="1"/>
    <col min="12296" max="12296" width="6" style="5" bestFit="1" customWidth="1"/>
    <col min="12297" max="12297" width="8.140625" style="5" customWidth="1"/>
    <col min="12298" max="12298" width="9.7109375" style="5" bestFit="1" customWidth="1"/>
    <col min="12299" max="12299" width="8.85546875" style="5" bestFit="1" customWidth="1"/>
    <col min="12300" max="12300" width="8.5703125" style="5" customWidth="1"/>
    <col min="12301" max="12301" width="8.85546875" style="5" customWidth="1"/>
    <col min="12302" max="12302" width="8" style="5" customWidth="1"/>
    <col min="12303" max="12303" width="8.140625" style="5" customWidth="1"/>
    <col min="12304" max="12304" width="8" style="5" customWidth="1"/>
    <col min="12305" max="12305" width="8.85546875" style="5" customWidth="1"/>
    <col min="12306" max="12310" width="0" style="5" hidden="1" customWidth="1"/>
    <col min="12311" max="12311" width="7.85546875" style="5" bestFit="1" customWidth="1"/>
    <col min="12312" max="12312" width="9" style="5" bestFit="1" customWidth="1"/>
    <col min="12313" max="12313" width="9.5703125" style="5" bestFit="1" customWidth="1"/>
    <col min="12314" max="12314" width="8.5703125" style="5" bestFit="1" customWidth="1"/>
    <col min="12315" max="12315" width="9.5703125" style="5" bestFit="1" customWidth="1"/>
    <col min="12316" max="12544" width="9.140625" style="5"/>
    <col min="12545" max="12545" width="9" style="5" bestFit="1" customWidth="1"/>
    <col min="12546" max="12546" width="15.7109375" style="5" bestFit="1" customWidth="1"/>
    <col min="12547" max="12547" width="5.5703125" style="5" bestFit="1" customWidth="1"/>
    <col min="12548" max="12548" width="10.85546875" style="5" bestFit="1" customWidth="1"/>
    <col min="12549" max="12549" width="7.28515625" style="5" customWidth="1"/>
    <col min="12550" max="12550" width="11.42578125" style="5" bestFit="1" customWidth="1"/>
    <col min="12551" max="12551" width="5.7109375" style="5" bestFit="1" customWidth="1"/>
    <col min="12552" max="12552" width="6" style="5" bestFit="1" customWidth="1"/>
    <col min="12553" max="12553" width="8.140625" style="5" customWidth="1"/>
    <col min="12554" max="12554" width="9.7109375" style="5" bestFit="1" customWidth="1"/>
    <col min="12555" max="12555" width="8.85546875" style="5" bestFit="1" customWidth="1"/>
    <col min="12556" max="12556" width="8.5703125" style="5" customWidth="1"/>
    <col min="12557" max="12557" width="8.85546875" style="5" customWidth="1"/>
    <col min="12558" max="12558" width="8" style="5" customWidth="1"/>
    <col min="12559" max="12559" width="8.140625" style="5" customWidth="1"/>
    <col min="12560" max="12560" width="8" style="5" customWidth="1"/>
    <col min="12561" max="12561" width="8.85546875" style="5" customWidth="1"/>
    <col min="12562" max="12566" width="0" style="5" hidden="1" customWidth="1"/>
    <col min="12567" max="12567" width="7.85546875" style="5" bestFit="1" customWidth="1"/>
    <col min="12568" max="12568" width="9" style="5" bestFit="1" customWidth="1"/>
    <col min="12569" max="12569" width="9.5703125" style="5" bestFit="1" customWidth="1"/>
    <col min="12570" max="12570" width="8.5703125" style="5" bestFit="1" customWidth="1"/>
    <col min="12571" max="12571" width="9.5703125" style="5" bestFit="1" customWidth="1"/>
    <col min="12572" max="12800" width="9.140625" style="5"/>
    <col min="12801" max="12801" width="9" style="5" bestFit="1" customWidth="1"/>
    <col min="12802" max="12802" width="15.7109375" style="5" bestFit="1" customWidth="1"/>
    <col min="12803" max="12803" width="5.5703125" style="5" bestFit="1" customWidth="1"/>
    <col min="12804" max="12804" width="10.85546875" style="5" bestFit="1" customWidth="1"/>
    <col min="12805" max="12805" width="7.28515625" style="5" customWidth="1"/>
    <col min="12806" max="12806" width="11.42578125" style="5" bestFit="1" customWidth="1"/>
    <col min="12807" max="12807" width="5.7109375" style="5" bestFit="1" customWidth="1"/>
    <col min="12808" max="12808" width="6" style="5" bestFit="1" customWidth="1"/>
    <col min="12809" max="12809" width="8.140625" style="5" customWidth="1"/>
    <col min="12810" max="12810" width="9.7109375" style="5" bestFit="1" customWidth="1"/>
    <col min="12811" max="12811" width="8.85546875" style="5" bestFit="1" customWidth="1"/>
    <col min="12812" max="12812" width="8.5703125" style="5" customWidth="1"/>
    <col min="12813" max="12813" width="8.85546875" style="5" customWidth="1"/>
    <col min="12814" max="12814" width="8" style="5" customWidth="1"/>
    <col min="12815" max="12815" width="8.140625" style="5" customWidth="1"/>
    <col min="12816" max="12816" width="8" style="5" customWidth="1"/>
    <col min="12817" max="12817" width="8.85546875" style="5" customWidth="1"/>
    <col min="12818" max="12822" width="0" style="5" hidden="1" customWidth="1"/>
    <col min="12823" max="12823" width="7.85546875" style="5" bestFit="1" customWidth="1"/>
    <col min="12824" max="12824" width="9" style="5" bestFit="1" customWidth="1"/>
    <col min="12825" max="12825" width="9.5703125" style="5" bestFit="1" customWidth="1"/>
    <col min="12826" max="12826" width="8.5703125" style="5" bestFit="1" customWidth="1"/>
    <col min="12827" max="12827" width="9.5703125" style="5" bestFit="1" customWidth="1"/>
    <col min="12828" max="13056" width="9.140625" style="5"/>
    <col min="13057" max="13057" width="9" style="5" bestFit="1" customWidth="1"/>
    <col min="13058" max="13058" width="15.7109375" style="5" bestFit="1" customWidth="1"/>
    <col min="13059" max="13059" width="5.5703125" style="5" bestFit="1" customWidth="1"/>
    <col min="13060" max="13060" width="10.85546875" style="5" bestFit="1" customWidth="1"/>
    <col min="13061" max="13061" width="7.28515625" style="5" customWidth="1"/>
    <col min="13062" max="13062" width="11.42578125" style="5" bestFit="1" customWidth="1"/>
    <col min="13063" max="13063" width="5.7109375" style="5" bestFit="1" customWidth="1"/>
    <col min="13064" max="13064" width="6" style="5" bestFit="1" customWidth="1"/>
    <col min="13065" max="13065" width="8.140625" style="5" customWidth="1"/>
    <col min="13066" max="13066" width="9.7109375" style="5" bestFit="1" customWidth="1"/>
    <col min="13067" max="13067" width="8.85546875" style="5" bestFit="1" customWidth="1"/>
    <col min="13068" max="13068" width="8.5703125" style="5" customWidth="1"/>
    <col min="13069" max="13069" width="8.85546875" style="5" customWidth="1"/>
    <col min="13070" max="13070" width="8" style="5" customWidth="1"/>
    <col min="13071" max="13071" width="8.140625" style="5" customWidth="1"/>
    <col min="13072" max="13072" width="8" style="5" customWidth="1"/>
    <col min="13073" max="13073" width="8.85546875" style="5" customWidth="1"/>
    <col min="13074" max="13078" width="0" style="5" hidden="1" customWidth="1"/>
    <col min="13079" max="13079" width="7.85546875" style="5" bestFit="1" customWidth="1"/>
    <col min="13080" max="13080" width="9" style="5" bestFit="1" customWidth="1"/>
    <col min="13081" max="13081" width="9.5703125" style="5" bestFit="1" customWidth="1"/>
    <col min="13082" max="13082" width="8.5703125" style="5" bestFit="1" customWidth="1"/>
    <col min="13083" max="13083" width="9.5703125" style="5" bestFit="1" customWidth="1"/>
    <col min="13084" max="13312" width="9.140625" style="5"/>
    <col min="13313" max="13313" width="9" style="5" bestFit="1" customWidth="1"/>
    <col min="13314" max="13314" width="15.7109375" style="5" bestFit="1" customWidth="1"/>
    <col min="13315" max="13315" width="5.5703125" style="5" bestFit="1" customWidth="1"/>
    <col min="13316" max="13316" width="10.85546875" style="5" bestFit="1" customWidth="1"/>
    <col min="13317" max="13317" width="7.28515625" style="5" customWidth="1"/>
    <col min="13318" max="13318" width="11.42578125" style="5" bestFit="1" customWidth="1"/>
    <col min="13319" max="13319" width="5.7109375" style="5" bestFit="1" customWidth="1"/>
    <col min="13320" max="13320" width="6" style="5" bestFit="1" customWidth="1"/>
    <col min="13321" max="13321" width="8.140625" style="5" customWidth="1"/>
    <col min="13322" max="13322" width="9.7109375" style="5" bestFit="1" customWidth="1"/>
    <col min="13323" max="13323" width="8.85546875" style="5" bestFit="1" customWidth="1"/>
    <col min="13324" max="13324" width="8.5703125" style="5" customWidth="1"/>
    <col min="13325" max="13325" width="8.85546875" style="5" customWidth="1"/>
    <col min="13326" max="13326" width="8" style="5" customWidth="1"/>
    <col min="13327" max="13327" width="8.140625" style="5" customWidth="1"/>
    <col min="13328" max="13328" width="8" style="5" customWidth="1"/>
    <col min="13329" max="13329" width="8.85546875" style="5" customWidth="1"/>
    <col min="13330" max="13334" width="0" style="5" hidden="1" customWidth="1"/>
    <col min="13335" max="13335" width="7.85546875" style="5" bestFit="1" customWidth="1"/>
    <col min="13336" max="13336" width="9" style="5" bestFit="1" customWidth="1"/>
    <col min="13337" max="13337" width="9.5703125" style="5" bestFit="1" customWidth="1"/>
    <col min="13338" max="13338" width="8.5703125" style="5" bestFit="1" customWidth="1"/>
    <col min="13339" max="13339" width="9.5703125" style="5" bestFit="1" customWidth="1"/>
    <col min="13340" max="13568" width="9.140625" style="5"/>
    <col min="13569" max="13569" width="9" style="5" bestFit="1" customWidth="1"/>
    <col min="13570" max="13570" width="15.7109375" style="5" bestFit="1" customWidth="1"/>
    <col min="13571" max="13571" width="5.5703125" style="5" bestFit="1" customWidth="1"/>
    <col min="13572" max="13572" width="10.85546875" style="5" bestFit="1" customWidth="1"/>
    <col min="13573" max="13573" width="7.28515625" style="5" customWidth="1"/>
    <col min="13574" max="13574" width="11.42578125" style="5" bestFit="1" customWidth="1"/>
    <col min="13575" max="13575" width="5.7109375" style="5" bestFit="1" customWidth="1"/>
    <col min="13576" max="13576" width="6" style="5" bestFit="1" customWidth="1"/>
    <col min="13577" max="13577" width="8.140625" style="5" customWidth="1"/>
    <col min="13578" max="13578" width="9.7109375" style="5" bestFit="1" customWidth="1"/>
    <col min="13579" max="13579" width="8.85546875" style="5" bestFit="1" customWidth="1"/>
    <col min="13580" max="13580" width="8.5703125" style="5" customWidth="1"/>
    <col min="13581" max="13581" width="8.85546875" style="5" customWidth="1"/>
    <col min="13582" max="13582" width="8" style="5" customWidth="1"/>
    <col min="13583" max="13583" width="8.140625" style="5" customWidth="1"/>
    <col min="13584" max="13584" width="8" style="5" customWidth="1"/>
    <col min="13585" max="13585" width="8.85546875" style="5" customWidth="1"/>
    <col min="13586" max="13590" width="0" style="5" hidden="1" customWidth="1"/>
    <col min="13591" max="13591" width="7.85546875" style="5" bestFit="1" customWidth="1"/>
    <col min="13592" max="13592" width="9" style="5" bestFit="1" customWidth="1"/>
    <col min="13593" max="13593" width="9.5703125" style="5" bestFit="1" customWidth="1"/>
    <col min="13594" max="13594" width="8.5703125" style="5" bestFit="1" customWidth="1"/>
    <col min="13595" max="13595" width="9.5703125" style="5" bestFit="1" customWidth="1"/>
    <col min="13596" max="13824" width="9.140625" style="5"/>
    <col min="13825" max="13825" width="9" style="5" bestFit="1" customWidth="1"/>
    <col min="13826" max="13826" width="15.7109375" style="5" bestFit="1" customWidth="1"/>
    <col min="13827" max="13827" width="5.5703125" style="5" bestFit="1" customWidth="1"/>
    <col min="13828" max="13828" width="10.85546875" style="5" bestFit="1" customWidth="1"/>
    <col min="13829" max="13829" width="7.28515625" style="5" customWidth="1"/>
    <col min="13830" max="13830" width="11.42578125" style="5" bestFit="1" customWidth="1"/>
    <col min="13831" max="13831" width="5.7109375" style="5" bestFit="1" customWidth="1"/>
    <col min="13832" max="13832" width="6" style="5" bestFit="1" customWidth="1"/>
    <col min="13833" max="13833" width="8.140625" style="5" customWidth="1"/>
    <col min="13834" max="13834" width="9.7109375" style="5" bestFit="1" customWidth="1"/>
    <col min="13835" max="13835" width="8.85546875" style="5" bestFit="1" customWidth="1"/>
    <col min="13836" max="13836" width="8.5703125" style="5" customWidth="1"/>
    <col min="13837" max="13837" width="8.85546875" style="5" customWidth="1"/>
    <col min="13838" max="13838" width="8" style="5" customWidth="1"/>
    <col min="13839" max="13839" width="8.140625" style="5" customWidth="1"/>
    <col min="13840" max="13840" width="8" style="5" customWidth="1"/>
    <col min="13841" max="13841" width="8.85546875" style="5" customWidth="1"/>
    <col min="13842" max="13846" width="0" style="5" hidden="1" customWidth="1"/>
    <col min="13847" max="13847" width="7.85546875" style="5" bestFit="1" customWidth="1"/>
    <col min="13848" max="13848" width="9" style="5" bestFit="1" customWidth="1"/>
    <col min="13849" max="13849" width="9.5703125" style="5" bestFit="1" customWidth="1"/>
    <col min="13850" max="13850" width="8.5703125" style="5" bestFit="1" customWidth="1"/>
    <col min="13851" max="13851" width="9.5703125" style="5" bestFit="1" customWidth="1"/>
    <col min="13852" max="14080" width="9.140625" style="5"/>
    <col min="14081" max="14081" width="9" style="5" bestFit="1" customWidth="1"/>
    <col min="14082" max="14082" width="15.7109375" style="5" bestFit="1" customWidth="1"/>
    <col min="14083" max="14083" width="5.5703125" style="5" bestFit="1" customWidth="1"/>
    <col min="14084" max="14084" width="10.85546875" style="5" bestFit="1" customWidth="1"/>
    <col min="14085" max="14085" width="7.28515625" style="5" customWidth="1"/>
    <col min="14086" max="14086" width="11.42578125" style="5" bestFit="1" customWidth="1"/>
    <col min="14087" max="14087" width="5.7109375" style="5" bestFit="1" customWidth="1"/>
    <col min="14088" max="14088" width="6" style="5" bestFit="1" customWidth="1"/>
    <col min="14089" max="14089" width="8.140625" style="5" customWidth="1"/>
    <col min="14090" max="14090" width="9.7109375" style="5" bestFit="1" customWidth="1"/>
    <col min="14091" max="14091" width="8.85546875" style="5" bestFit="1" customWidth="1"/>
    <col min="14092" max="14092" width="8.5703125" style="5" customWidth="1"/>
    <col min="14093" max="14093" width="8.85546875" style="5" customWidth="1"/>
    <col min="14094" max="14094" width="8" style="5" customWidth="1"/>
    <col min="14095" max="14095" width="8.140625" style="5" customWidth="1"/>
    <col min="14096" max="14096" width="8" style="5" customWidth="1"/>
    <col min="14097" max="14097" width="8.85546875" style="5" customWidth="1"/>
    <col min="14098" max="14102" width="0" style="5" hidden="1" customWidth="1"/>
    <col min="14103" max="14103" width="7.85546875" style="5" bestFit="1" customWidth="1"/>
    <col min="14104" max="14104" width="9" style="5" bestFit="1" customWidth="1"/>
    <col min="14105" max="14105" width="9.5703125" style="5" bestFit="1" customWidth="1"/>
    <col min="14106" max="14106" width="8.5703125" style="5" bestFit="1" customWidth="1"/>
    <col min="14107" max="14107" width="9.5703125" style="5" bestFit="1" customWidth="1"/>
    <col min="14108" max="14336" width="9.140625" style="5"/>
    <col min="14337" max="14337" width="9" style="5" bestFit="1" customWidth="1"/>
    <col min="14338" max="14338" width="15.7109375" style="5" bestFit="1" customWidth="1"/>
    <col min="14339" max="14339" width="5.5703125" style="5" bestFit="1" customWidth="1"/>
    <col min="14340" max="14340" width="10.85546875" style="5" bestFit="1" customWidth="1"/>
    <col min="14341" max="14341" width="7.28515625" style="5" customWidth="1"/>
    <col min="14342" max="14342" width="11.42578125" style="5" bestFit="1" customWidth="1"/>
    <col min="14343" max="14343" width="5.7109375" style="5" bestFit="1" customWidth="1"/>
    <col min="14344" max="14344" width="6" style="5" bestFit="1" customWidth="1"/>
    <col min="14345" max="14345" width="8.140625" style="5" customWidth="1"/>
    <col min="14346" max="14346" width="9.7109375" style="5" bestFit="1" customWidth="1"/>
    <col min="14347" max="14347" width="8.85546875" style="5" bestFit="1" customWidth="1"/>
    <col min="14348" max="14348" width="8.5703125" style="5" customWidth="1"/>
    <col min="14349" max="14349" width="8.85546875" style="5" customWidth="1"/>
    <col min="14350" max="14350" width="8" style="5" customWidth="1"/>
    <col min="14351" max="14351" width="8.140625" style="5" customWidth="1"/>
    <col min="14352" max="14352" width="8" style="5" customWidth="1"/>
    <col min="14353" max="14353" width="8.85546875" style="5" customWidth="1"/>
    <col min="14354" max="14358" width="0" style="5" hidden="1" customWidth="1"/>
    <col min="14359" max="14359" width="7.85546875" style="5" bestFit="1" customWidth="1"/>
    <col min="14360" max="14360" width="9" style="5" bestFit="1" customWidth="1"/>
    <col min="14361" max="14361" width="9.5703125" style="5" bestFit="1" customWidth="1"/>
    <col min="14362" max="14362" width="8.5703125" style="5" bestFit="1" customWidth="1"/>
    <col min="14363" max="14363" width="9.5703125" style="5" bestFit="1" customWidth="1"/>
    <col min="14364" max="14592" width="9.140625" style="5"/>
    <col min="14593" max="14593" width="9" style="5" bestFit="1" customWidth="1"/>
    <col min="14594" max="14594" width="15.7109375" style="5" bestFit="1" customWidth="1"/>
    <col min="14595" max="14595" width="5.5703125" style="5" bestFit="1" customWidth="1"/>
    <col min="14596" max="14596" width="10.85546875" style="5" bestFit="1" customWidth="1"/>
    <col min="14597" max="14597" width="7.28515625" style="5" customWidth="1"/>
    <col min="14598" max="14598" width="11.42578125" style="5" bestFit="1" customWidth="1"/>
    <col min="14599" max="14599" width="5.7109375" style="5" bestFit="1" customWidth="1"/>
    <col min="14600" max="14600" width="6" style="5" bestFit="1" customWidth="1"/>
    <col min="14601" max="14601" width="8.140625" style="5" customWidth="1"/>
    <col min="14602" max="14602" width="9.7109375" style="5" bestFit="1" customWidth="1"/>
    <col min="14603" max="14603" width="8.85546875" style="5" bestFit="1" customWidth="1"/>
    <col min="14604" max="14604" width="8.5703125" style="5" customWidth="1"/>
    <col min="14605" max="14605" width="8.85546875" style="5" customWidth="1"/>
    <col min="14606" max="14606" width="8" style="5" customWidth="1"/>
    <col min="14607" max="14607" width="8.140625" style="5" customWidth="1"/>
    <col min="14608" max="14608" width="8" style="5" customWidth="1"/>
    <col min="14609" max="14609" width="8.85546875" style="5" customWidth="1"/>
    <col min="14610" max="14614" width="0" style="5" hidden="1" customWidth="1"/>
    <col min="14615" max="14615" width="7.85546875" style="5" bestFit="1" customWidth="1"/>
    <col min="14616" max="14616" width="9" style="5" bestFit="1" customWidth="1"/>
    <col min="14617" max="14617" width="9.5703125" style="5" bestFit="1" customWidth="1"/>
    <col min="14618" max="14618" width="8.5703125" style="5" bestFit="1" customWidth="1"/>
    <col min="14619" max="14619" width="9.5703125" style="5" bestFit="1" customWidth="1"/>
    <col min="14620" max="14848" width="9.140625" style="5"/>
    <col min="14849" max="14849" width="9" style="5" bestFit="1" customWidth="1"/>
    <col min="14850" max="14850" width="15.7109375" style="5" bestFit="1" customWidth="1"/>
    <col min="14851" max="14851" width="5.5703125" style="5" bestFit="1" customWidth="1"/>
    <col min="14852" max="14852" width="10.85546875" style="5" bestFit="1" customWidth="1"/>
    <col min="14853" max="14853" width="7.28515625" style="5" customWidth="1"/>
    <col min="14854" max="14854" width="11.42578125" style="5" bestFit="1" customWidth="1"/>
    <col min="14855" max="14855" width="5.7109375" style="5" bestFit="1" customWidth="1"/>
    <col min="14856" max="14856" width="6" style="5" bestFit="1" customWidth="1"/>
    <col min="14857" max="14857" width="8.140625" style="5" customWidth="1"/>
    <col min="14858" max="14858" width="9.7109375" style="5" bestFit="1" customWidth="1"/>
    <col min="14859" max="14859" width="8.85546875" style="5" bestFit="1" customWidth="1"/>
    <col min="14860" max="14860" width="8.5703125" style="5" customWidth="1"/>
    <col min="14861" max="14861" width="8.85546875" style="5" customWidth="1"/>
    <col min="14862" max="14862" width="8" style="5" customWidth="1"/>
    <col min="14863" max="14863" width="8.140625" style="5" customWidth="1"/>
    <col min="14864" max="14864" width="8" style="5" customWidth="1"/>
    <col min="14865" max="14865" width="8.85546875" style="5" customWidth="1"/>
    <col min="14866" max="14870" width="0" style="5" hidden="1" customWidth="1"/>
    <col min="14871" max="14871" width="7.85546875" style="5" bestFit="1" customWidth="1"/>
    <col min="14872" max="14872" width="9" style="5" bestFit="1" customWidth="1"/>
    <col min="14873" max="14873" width="9.5703125" style="5" bestFit="1" customWidth="1"/>
    <col min="14874" max="14874" width="8.5703125" style="5" bestFit="1" customWidth="1"/>
    <col min="14875" max="14875" width="9.5703125" style="5" bestFit="1" customWidth="1"/>
    <col min="14876" max="15104" width="9.140625" style="5"/>
    <col min="15105" max="15105" width="9" style="5" bestFit="1" customWidth="1"/>
    <col min="15106" max="15106" width="15.7109375" style="5" bestFit="1" customWidth="1"/>
    <col min="15107" max="15107" width="5.5703125" style="5" bestFit="1" customWidth="1"/>
    <col min="15108" max="15108" width="10.85546875" style="5" bestFit="1" customWidth="1"/>
    <col min="15109" max="15109" width="7.28515625" style="5" customWidth="1"/>
    <col min="15110" max="15110" width="11.42578125" style="5" bestFit="1" customWidth="1"/>
    <col min="15111" max="15111" width="5.7109375" style="5" bestFit="1" customWidth="1"/>
    <col min="15112" max="15112" width="6" style="5" bestFit="1" customWidth="1"/>
    <col min="15113" max="15113" width="8.140625" style="5" customWidth="1"/>
    <col min="15114" max="15114" width="9.7109375" style="5" bestFit="1" customWidth="1"/>
    <col min="15115" max="15115" width="8.85546875" style="5" bestFit="1" customWidth="1"/>
    <col min="15116" max="15116" width="8.5703125" style="5" customWidth="1"/>
    <col min="15117" max="15117" width="8.85546875" style="5" customWidth="1"/>
    <col min="15118" max="15118" width="8" style="5" customWidth="1"/>
    <col min="15119" max="15119" width="8.140625" style="5" customWidth="1"/>
    <col min="15120" max="15120" width="8" style="5" customWidth="1"/>
    <col min="15121" max="15121" width="8.85546875" style="5" customWidth="1"/>
    <col min="15122" max="15126" width="0" style="5" hidden="1" customWidth="1"/>
    <col min="15127" max="15127" width="7.85546875" style="5" bestFit="1" customWidth="1"/>
    <col min="15128" max="15128" width="9" style="5" bestFit="1" customWidth="1"/>
    <col min="15129" max="15129" width="9.5703125" style="5" bestFit="1" customWidth="1"/>
    <col min="15130" max="15130" width="8.5703125" style="5" bestFit="1" customWidth="1"/>
    <col min="15131" max="15131" width="9.5703125" style="5" bestFit="1" customWidth="1"/>
    <col min="15132" max="15360" width="9.140625" style="5"/>
    <col min="15361" max="15361" width="9" style="5" bestFit="1" customWidth="1"/>
    <col min="15362" max="15362" width="15.7109375" style="5" bestFit="1" customWidth="1"/>
    <col min="15363" max="15363" width="5.5703125" style="5" bestFit="1" customWidth="1"/>
    <col min="15364" max="15364" width="10.85546875" style="5" bestFit="1" customWidth="1"/>
    <col min="15365" max="15365" width="7.28515625" style="5" customWidth="1"/>
    <col min="15366" max="15366" width="11.42578125" style="5" bestFit="1" customWidth="1"/>
    <col min="15367" max="15367" width="5.7109375" style="5" bestFit="1" customWidth="1"/>
    <col min="15368" max="15368" width="6" style="5" bestFit="1" customWidth="1"/>
    <col min="15369" max="15369" width="8.140625" style="5" customWidth="1"/>
    <col min="15370" max="15370" width="9.7109375" style="5" bestFit="1" customWidth="1"/>
    <col min="15371" max="15371" width="8.85546875" style="5" bestFit="1" customWidth="1"/>
    <col min="15372" max="15372" width="8.5703125" style="5" customWidth="1"/>
    <col min="15373" max="15373" width="8.85546875" style="5" customWidth="1"/>
    <col min="15374" max="15374" width="8" style="5" customWidth="1"/>
    <col min="15375" max="15375" width="8.140625" style="5" customWidth="1"/>
    <col min="15376" max="15376" width="8" style="5" customWidth="1"/>
    <col min="15377" max="15377" width="8.85546875" style="5" customWidth="1"/>
    <col min="15378" max="15382" width="0" style="5" hidden="1" customWidth="1"/>
    <col min="15383" max="15383" width="7.85546875" style="5" bestFit="1" customWidth="1"/>
    <col min="15384" max="15384" width="9" style="5" bestFit="1" customWidth="1"/>
    <col min="15385" max="15385" width="9.5703125" style="5" bestFit="1" customWidth="1"/>
    <col min="15386" max="15386" width="8.5703125" style="5" bestFit="1" customWidth="1"/>
    <col min="15387" max="15387" width="9.5703125" style="5" bestFit="1" customWidth="1"/>
    <col min="15388" max="15616" width="9.140625" style="5"/>
    <col min="15617" max="15617" width="9" style="5" bestFit="1" customWidth="1"/>
    <col min="15618" max="15618" width="15.7109375" style="5" bestFit="1" customWidth="1"/>
    <col min="15619" max="15619" width="5.5703125" style="5" bestFit="1" customWidth="1"/>
    <col min="15620" max="15620" width="10.85546875" style="5" bestFit="1" customWidth="1"/>
    <col min="15621" max="15621" width="7.28515625" style="5" customWidth="1"/>
    <col min="15622" max="15622" width="11.42578125" style="5" bestFit="1" customWidth="1"/>
    <col min="15623" max="15623" width="5.7109375" style="5" bestFit="1" customWidth="1"/>
    <col min="15624" max="15624" width="6" style="5" bestFit="1" customWidth="1"/>
    <col min="15625" max="15625" width="8.140625" style="5" customWidth="1"/>
    <col min="15626" max="15626" width="9.7109375" style="5" bestFit="1" customWidth="1"/>
    <col min="15627" max="15627" width="8.85546875" style="5" bestFit="1" customWidth="1"/>
    <col min="15628" max="15628" width="8.5703125" style="5" customWidth="1"/>
    <col min="15629" max="15629" width="8.85546875" style="5" customWidth="1"/>
    <col min="15630" max="15630" width="8" style="5" customWidth="1"/>
    <col min="15631" max="15631" width="8.140625" style="5" customWidth="1"/>
    <col min="15632" max="15632" width="8" style="5" customWidth="1"/>
    <col min="15633" max="15633" width="8.85546875" style="5" customWidth="1"/>
    <col min="15634" max="15638" width="0" style="5" hidden="1" customWidth="1"/>
    <col min="15639" max="15639" width="7.85546875" style="5" bestFit="1" customWidth="1"/>
    <col min="15640" max="15640" width="9" style="5" bestFit="1" customWidth="1"/>
    <col min="15641" max="15641" width="9.5703125" style="5" bestFit="1" customWidth="1"/>
    <col min="15642" max="15642" width="8.5703125" style="5" bestFit="1" customWidth="1"/>
    <col min="15643" max="15643" width="9.5703125" style="5" bestFit="1" customWidth="1"/>
    <col min="15644" max="15872" width="9.140625" style="5"/>
    <col min="15873" max="15873" width="9" style="5" bestFit="1" customWidth="1"/>
    <col min="15874" max="15874" width="15.7109375" style="5" bestFit="1" customWidth="1"/>
    <col min="15875" max="15875" width="5.5703125" style="5" bestFit="1" customWidth="1"/>
    <col min="15876" max="15876" width="10.85546875" style="5" bestFit="1" customWidth="1"/>
    <col min="15877" max="15877" width="7.28515625" style="5" customWidth="1"/>
    <col min="15878" max="15878" width="11.42578125" style="5" bestFit="1" customWidth="1"/>
    <col min="15879" max="15879" width="5.7109375" style="5" bestFit="1" customWidth="1"/>
    <col min="15880" max="15880" width="6" style="5" bestFit="1" customWidth="1"/>
    <col min="15881" max="15881" width="8.140625" style="5" customWidth="1"/>
    <col min="15882" max="15882" width="9.7109375" style="5" bestFit="1" customWidth="1"/>
    <col min="15883" max="15883" width="8.85546875" style="5" bestFit="1" customWidth="1"/>
    <col min="15884" max="15884" width="8.5703125" style="5" customWidth="1"/>
    <col min="15885" max="15885" width="8.85546875" style="5" customWidth="1"/>
    <col min="15886" max="15886" width="8" style="5" customWidth="1"/>
    <col min="15887" max="15887" width="8.140625" style="5" customWidth="1"/>
    <col min="15888" max="15888" width="8" style="5" customWidth="1"/>
    <col min="15889" max="15889" width="8.85546875" style="5" customWidth="1"/>
    <col min="15890" max="15894" width="0" style="5" hidden="1" customWidth="1"/>
    <col min="15895" max="15895" width="7.85546875" style="5" bestFit="1" customWidth="1"/>
    <col min="15896" max="15896" width="9" style="5" bestFit="1" customWidth="1"/>
    <col min="15897" max="15897" width="9.5703125" style="5" bestFit="1" customWidth="1"/>
    <col min="15898" max="15898" width="8.5703125" style="5" bestFit="1" customWidth="1"/>
    <col min="15899" max="15899" width="9.5703125" style="5" bestFit="1" customWidth="1"/>
    <col min="15900" max="16128" width="9.140625" style="5"/>
    <col min="16129" max="16129" width="9" style="5" bestFit="1" customWidth="1"/>
    <col min="16130" max="16130" width="15.7109375" style="5" bestFit="1" customWidth="1"/>
    <col min="16131" max="16131" width="5.5703125" style="5" bestFit="1" customWidth="1"/>
    <col min="16132" max="16132" width="10.85546875" style="5" bestFit="1" customWidth="1"/>
    <col min="16133" max="16133" width="7.28515625" style="5" customWidth="1"/>
    <col min="16134" max="16134" width="11.42578125" style="5" bestFit="1" customWidth="1"/>
    <col min="16135" max="16135" width="5.7109375" style="5" bestFit="1" customWidth="1"/>
    <col min="16136" max="16136" width="6" style="5" bestFit="1" customWidth="1"/>
    <col min="16137" max="16137" width="8.140625" style="5" customWidth="1"/>
    <col min="16138" max="16138" width="9.7109375" style="5" bestFit="1" customWidth="1"/>
    <col min="16139" max="16139" width="8.85546875" style="5" bestFit="1" customWidth="1"/>
    <col min="16140" max="16140" width="8.5703125" style="5" customWidth="1"/>
    <col min="16141" max="16141" width="8.85546875" style="5" customWidth="1"/>
    <col min="16142" max="16142" width="8" style="5" customWidth="1"/>
    <col min="16143" max="16143" width="8.140625" style="5" customWidth="1"/>
    <col min="16144" max="16144" width="8" style="5" customWidth="1"/>
    <col min="16145" max="16145" width="8.85546875" style="5" customWidth="1"/>
    <col min="16146" max="16150" width="0" style="5" hidden="1" customWidth="1"/>
    <col min="16151" max="16151" width="7.85546875" style="5" bestFit="1" customWidth="1"/>
    <col min="16152" max="16152" width="9" style="5" bestFit="1" customWidth="1"/>
    <col min="16153" max="16153" width="9.5703125" style="5" bestFit="1" customWidth="1"/>
    <col min="16154" max="16154" width="8.5703125" style="5" bestFit="1" customWidth="1"/>
    <col min="16155" max="16155" width="9.5703125" style="5" bestFit="1" customWidth="1"/>
    <col min="16156" max="16384" width="9.140625" style="5"/>
  </cols>
  <sheetData>
    <row r="1" spans="1:28" s="4" customFormat="1" ht="54" customHeight="1" x14ac:dyDescent="0.25">
      <c r="A1" s="1" t="s">
        <v>0</v>
      </c>
      <c r="B1" s="2" t="s">
        <v>1</v>
      </c>
      <c r="C1" s="16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</row>
    <row r="2" spans="1:28" x14ac:dyDescent="0.25">
      <c r="A2" s="12"/>
      <c r="B2" s="12" t="s">
        <v>27</v>
      </c>
      <c r="C2" s="13">
        <v>0.22361111111111109</v>
      </c>
      <c r="D2" s="14">
        <v>44353</v>
      </c>
      <c r="E2" s="12" t="s">
        <v>30</v>
      </c>
      <c r="F2" s="12">
        <v>1904</v>
      </c>
      <c r="G2" s="12">
        <v>1</v>
      </c>
      <c r="H2" s="12">
        <v>1</v>
      </c>
      <c r="I2" s="12"/>
      <c r="J2" s="12">
        <v>475</v>
      </c>
      <c r="K2" s="12">
        <v>237.5</v>
      </c>
      <c r="L2" s="12"/>
      <c r="M2" s="12"/>
      <c r="N2" s="12"/>
      <c r="O2" s="12"/>
      <c r="P2" s="12"/>
      <c r="Q2" s="12"/>
      <c r="R2" s="12">
        <v>237.5</v>
      </c>
      <c r="S2" s="12">
        <v>237.5</v>
      </c>
      <c r="T2" s="12">
        <v>42.76</v>
      </c>
      <c r="U2" s="12">
        <v>280.26</v>
      </c>
      <c r="V2" s="12">
        <v>742</v>
      </c>
      <c r="W2" s="12"/>
      <c r="X2" s="12">
        <v>237.5</v>
      </c>
      <c r="Y2" s="12">
        <v>42.76</v>
      </c>
      <c r="Z2" s="12">
        <v>280.26</v>
      </c>
      <c r="AA2" s="12">
        <v>742</v>
      </c>
    </row>
    <row r="3" spans="1:28" x14ac:dyDescent="0.25">
      <c r="A3" s="12"/>
      <c r="B3" s="12" t="s">
        <v>28</v>
      </c>
      <c r="C3" s="13">
        <v>0.35416666666666669</v>
      </c>
      <c r="D3" s="14">
        <v>44355</v>
      </c>
      <c r="E3" s="12" t="s">
        <v>30</v>
      </c>
      <c r="F3" s="12">
        <v>6092</v>
      </c>
      <c r="G3" s="12">
        <v>2</v>
      </c>
      <c r="H3" s="12">
        <v>2</v>
      </c>
      <c r="I3" s="12"/>
      <c r="J3" s="12">
        <v>2000</v>
      </c>
      <c r="K3" s="12">
        <v>1000</v>
      </c>
      <c r="L3" s="12"/>
      <c r="M3" s="12"/>
      <c r="N3" s="12"/>
      <c r="O3" s="12"/>
      <c r="P3" s="12"/>
      <c r="Q3" s="12"/>
      <c r="R3" s="12">
        <v>1000</v>
      </c>
      <c r="S3" s="12">
        <v>1000</v>
      </c>
      <c r="T3" s="12">
        <v>180</v>
      </c>
      <c r="U3" s="12">
        <v>1180</v>
      </c>
      <c r="V3" s="12">
        <v>742</v>
      </c>
      <c r="W3" s="12"/>
      <c r="X3" s="12">
        <v>1000</v>
      </c>
      <c r="Y3" s="12">
        <v>180</v>
      </c>
      <c r="Z3" s="12">
        <v>1180</v>
      </c>
      <c r="AA3" s="12">
        <v>742</v>
      </c>
    </row>
    <row r="4" spans="1:28" x14ac:dyDescent="0.25">
      <c r="A4" s="12"/>
      <c r="B4" s="12" t="s">
        <v>29</v>
      </c>
      <c r="C4" s="13">
        <v>0.31319444444444444</v>
      </c>
      <c r="D4" s="14">
        <v>44356</v>
      </c>
      <c r="E4" s="12" t="s">
        <v>31</v>
      </c>
      <c r="F4" s="12">
        <v>6108</v>
      </c>
      <c r="G4" s="12">
        <v>2</v>
      </c>
      <c r="H4" s="12">
        <v>2</v>
      </c>
      <c r="I4" s="12"/>
      <c r="J4" s="12">
        <v>1675</v>
      </c>
      <c r="K4" s="12">
        <v>335</v>
      </c>
      <c r="L4" s="12"/>
      <c r="M4" s="12"/>
      <c r="N4" s="12"/>
      <c r="O4" s="12"/>
      <c r="P4" s="12"/>
      <c r="Q4" s="12"/>
      <c r="R4" s="12">
        <v>1340</v>
      </c>
      <c r="S4" s="12">
        <v>1340</v>
      </c>
      <c r="T4" s="12">
        <v>240.6</v>
      </c>
      <c r="U4" s="12">
        <v>1580.6</v>
      </c>
      <c r="V4" s="12">
        <v>742</v>
      </c>
      <c r="W4" s="12"/>
      <c r="X4" s="12">
        <v>1340</v>
      </c>
      <c r="Y4" s="12">
        <v>240.6</v>
      </c>
      <c r="Z4" s="12">
        <v>1580.6</v>
      </c>
      <c r="AA4" s="12">
        <v>742</v>
      </c>
    </row>
    <row r="5" spans="1:28" x14ac:dyDescent="0.25">
      <c r="A5" s="12"/>
      <c r="B5" s="12" t="s">
        <v>32</v>
      </c>
      <c r="C5" s="13">
        <v>0.13263888888888889</v>
      </c>
      <c r="D5" s="14">
        <v>44360</v>
      </c>
      <c r="E5" s="12" t="s">
        <v>31</v>
      </c>
      <c r="F5" s="12">
        <v>6199</v>
      </c>
      <c r="G5" s="12">
        <v>1</v>
      </c>
      <c r="H5" s="12">
        <v>1</v>
      </c>
      <c r="I5" s="12"/>
      <c r="J5" s="12">
        <v>1150</v>
      </c>
      <c r="K5" s="12">
        <v>230</v>
      </c>
      <c r="L5" s="12"/>
      <c r="M5" s="12"/>
      <c r="N5" s="12"/>
      <c r="O5" s="12"/>
      <c r="P5" s="12"/>
      <c r="Q5" s="12"/>
      <c r="R5" s="12">
        <v>920</v>
      </c>
      <c r="S5" s="12">
        <v>920</v>
      </c>
      <c r="T5" s="12">
        <v>165.6</v>
      </c>
      <c r="U5" s="12">
        <v>1085.5999999999999</v>
      </c>
      <c r="V5" s="12">
        <v>742</v>
      </c>
      <c r="W5" s="12"/>
      <c r="X5" s="12">
        <v>920</v>
      </c>
      <c r="Y5" s="12">
        <v>165.6</v>
      </c>
      <c r="Z5" s="12">
        <v>1085.5999999999999</v>
      </c>
      <c r="AA5" s="12">
        <v>742</v>
      </c>
    </row>
    <row r="6" spans="1:28" x14ac:dyDescent="0.25">
      <c r="A6" s="12"/>
      <c r="B6" s="12" t="s">
        <v>33</v>
      </c>
      <c r="C6" s="13">
        <v>0.34722222222222227</v>
      </c>
      <c r="D6" s="14">
        <v>44366</v>
      </c>
      <c r="E6" s="12" t="s">
        <v>31</v>
      </c>
      <c r="F6" s="12">
        <v>6337</v>
      </c>
      <c r="G6" s="12">
        <v>2</v>
      </c>
      <c r="H6" s="12">
        <v>2</v>
      </c>
      <c r="I6" s="12"/>
      <c r="J6" s="12">
        <v>2000</v>
      </c>
      <c r="K6" s="12">
        <v>1000</v>
      </c>
      <c r="L6" s="12"/>
      <c r="M6" s="12"/>
      <c r="N6" s="12"/>
      <c r="O6" s="12"/>
      <c r="P6" s="12"/>
      <c r="Q6" s="12"/>
      <c r="R6" s="12">
        <v>1000</v>
      </c>
      <c r="S6" s="12">
        <v>1000</v>
      </c>
      <c r="T6" s="12">
        <v>180</v>
      </c>
      <c r="U6" s="12">
        <v>1180</v>
      </c>
      <c r="V6" s="12">
        <v>742</v>
      </c>
      <c r="W6" s="12"/>
      <c r="X6" s="12">
        <v>1000</v>
      </c>
      <c r="Y6" s="12">
        <v>180</v>
      </c>
      <c r="Z6" s="12">
        <v>1180</v>
      </c>
      <c r="AA6" s="12">
        <v>742</v>
      </c>
    </row>
    <row r="7" spans="1:28" x14ac:dyDescent="0.25">
      <c r="A7" s="12"/>
      <c r="B7" s="12" t="s">
        <v>34</v>
      </c>
      <c r="C7" s="13">
        <v>0.38611111111111113</v>
      </c>
      <c r="D7" s="14">
        <v>44367</v>
      </c>
      <c r="E7" s="12" t="s">
        <v>31</v>
      </c>
      <c r="F7" s="12">
        <v>6389</v>
      </c>
      <c r="G7" s="12">
        <v>10</v>
      </c>
      <c r="H7" s="12">
        <v>10</v>
      </c>
      <c r="I7" s="12"/>
      <c r="J7" s="12">
        <v>9000</v>
      </c>
      <c r="K7" s="12">
        <v>4500</v>
      </c>
      <c r="L7" s="12"/>
      <c r="M7" s="12"/>
      <c r="N7" s="12"/>
      <c r="O7" s="12"/>
      <c r="P7" s="12"/>
      <c r="Q7" s="12"/>
      <c r="R7" s="12">
        <v>4500</v>
      </c>
      <c r="S7" s="12">
        <v>4500</v>
      </c>
      <c r="T7" s="12">
        <v>810</v>
      </c>
      <c r="U7" s="12">
        <v>5310</v>
      </c>
      <c r="V7" s="12">
        <v>742</v>
      </c>
      <c r="W7" s="12"/>
      <c r="X7" s="12">
        <v>4500</v>
      </c>
      <c r="Y7" s="12">
        <v>810</v>
      </c>
      <c r="Z7" s="12">
        <v>5310</v>
      </c>
      <c r="AA7" s="12">
        <v>742</v>
      </c>
    </row>
    <row r="8" spans="1:28" x14ac:dyDescent="0.25">
      <c r="A8" s="12"/>
      <c r="B8" s="12" t="s">
        <v>27</v>
      </c>
      <c r="C8" s="13">
        <v>0.40347222222222223</v>
      </c>
      <c r="D8" s="14">
        <v>44371</v>
      </c>
      <c r="E8" s="12" t="s">
        <v>31</v>
      </c>
      <c r="F8" s="12">
        <v>6451</v>
      </c>
      <c r="G8" s="12">
        <v>1</v>
      </c>
      <c r="H8" s="12">
        <v>1</v>
      </c>
      <c r="I8" s="12"/>
      <c r="J8" s="12">
        <v>1500</v>
      </c>
      <c r="K8" s="12">
        <v>750</v>
      </c>
      <c r="L8" s="12"/>
      <c r="M8" s="12"/>
      <c r="N8" s="12"/>
      <c r="O8" s="12"/>
      <c r="P8" s="12"/>
      <c r="Q8" s="12"/>
      <c r="R8" s="12">
        <v>750</v>
      </c>
      <c r="S8" s="12">
        <v>750</v>
      </c>
      <c r="T8" s="12">
        <v>135</v>
      </c>
      <c r="U8" s="12">
        <v>885</v>
      </c>
      <c r="V8" s="12">
        <v>158</v>
      </c>
      <c r="W8" s="12"/>
      <c r="X8" s="12">
        <v>750</v>
      </c>
      <c r="Y8" s="12">
        <v>135</v>
      </c>
      <c r="Z8" s="12">
        <v>885</v>
      </c>
      <c r="AA8" s="12">
        <v>158</v>
      </c>
    </row>
    <row r="9" spans="1:28" x14ac:dyDescent="0.25">
      <c r="A9" s="12"/>
      <c r="B9" s="12" t="s">
        <v>35</v>
      </c>
      <c r="C9" s="13">
        <v>0.37777777777777777</v>
      </c>
      <c r="D9" s="14">
        <v>44374</v>
      </c>
      <c r="E9" s="12" t="s">
        <v>31</v>
      </c>
      <c r="F9" s="12">
        <v>6566</v>
      </c>
      <c r="G9" s="12">
        <v>2</v>
      </c>
      <c r="H9" s="12">
        <v>2</v>
      </c>
      <c r="I9" s="12"/>
      <c r="J9" s="12">
        <v>2400</v>
      </c>
      <c r="K9" s="12">
        <v>1200</v>
      </c>
      <c r="L9" s="12"/>
      <c r="M9" s="12"/>
      <c r="N9" s="12"/>
      <c r="O9" s="12"/>
      <c r="P9" s="12"/>
      <c r="Q9" s="12"/>
      <c r="R9" s="12">
        <v>1200</v>
      </c>
      <c r="S9" s="12">
        <v>1200</v>
      </c>
      <c r="T9" s="12">
        <v>216</v>
      </c>
      <c r="U9" s="12">
        <v>1416</v>
      </c>
      <c r="V9" s="12">
        <v>177</v>
      </c>
      <c r="W9" s="12"/>
      <c r="X9" s="12">
        <v>1200</v>
      </c>
      <c r="Y9" s="12">
        <v>216</v>
      </c>
      <c r="Z9" s="12">
        <v>1416</v>
      </c>
      <c r="AA9" s="12">
        <v>177</v>
      </c>
    </row>
    <row r="10" spans="1:28" x14ac:dyDescent="0.25">
      <c r="A10" s="12"/>
      <c r="B10" s="12" t="s">
        <v>36</v>
      </c>
      <c r="C10" s="13">
        <v>0.13680555555555554</v>
      </c>
      <c r="D10" s="15">
        <v>44739</v>
      </c>
      <c r="E10" s="12" t="s">
        <v>31</v>
      </c>
      <c r="F10" s="12">
        <v>6547</v>
      </c>
      <c r="G10" s="12">
        <v>3</v>
      </c>
      <c r="H10" s="12">
        <v>3</v>
      </c>
      <c r="I10" s="12"/>
      <c r="J10" s="12">
        <v>5306</v>
      </c>
      <c r="K10" s="12">
        <v>2248.5</v>
      </c>
      <c r="L10" s="12"/>
      <c r="M10" s="12"/>
      <c r="N10" s="12"/>
      <c r="O10" s="12"/>
      <c r="P10" s="12"/>
      <c r="Q10" s="12"/>
      <c r="R10" s="12">
        <v>3057.5</v>
      </c>
      <c r="S10" s="12">
        <v>2248.5</v>
      </c>
      <c r="T10" s="12">
        <v>404.74</v>
      </c>
      <c r="U10" s="12">
        <v>2653.24</v>
      </c>
      <c r="V10" s="12">
        <v>177</v>
      </c>
      <c r="W10" s="12"/>
      <c r="X10" s="12">
        <v>2248.5</v>
      </c>
      <c r="Y10" s="12">
        <v>404.74</v>
      </c>
      <c r="Z10" s="12">
        <v>2653.24</v>
      </c>
      <c r="AA10" s="12">
        <v>177</v>
      </c>
    </row>
    <row r="11" spans="1:28" x14ac:dyDescent="0.25">
      <c r="B11" s="6" t="s">
        <v>37</v>
      </c>
      <c r="C11" s="17" t="s">
        <v>38</v>
      </c>
      <c r="D11" s="11">
        <v>44379</v>
      </c>
      <c r="E11" s="5" t="s">
        <v>31</v>
      </c>
      <c r="F11" s="5">
        <v>6641</v>
      </c>
      <c r="G11" s="5">
        <v>1</v>
      </c>
      <c r="H11" s="5">
        <v>1</v>
      </c>
      <c r="J11" s="8">
        <v>1000</v>
      </c>
      <c r="K11" s="8">
        <v>500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2"/>
      <c r="X11" s="12">
        <v>500</v>
      </c>
      <c r="Y11" s="12">
        <v>90</v>
      </c>
      <c r="Z11" s="12">
        <f>X11+Y11</f>
        <v>590</v>
      </c>
      <c r="AA11" s="12">
        <v>740</v>
      </c>
      <c r="AB11" s="8"/>
    </row>
    <row r="12" spans="1:28" x14ac:dyDescent="0.25">
      <c r="B12" s="6" t="s">
        <v>39</v>
      </c>
      <c r="C12" s="17">
        <v>0.29652777777777778</v>
      </c>
      <c r="D12" s="11">
        <v>44379</v>
      </c>
      <c r="E12" s="5" t="s">
        <v>30</v>
      </c>
      <c r="F12" s="5">
        <v>1718</v>
      </c>
      <c r="G12" s="5">
        <v>1</v>
      </c>
      <c r="H12" s="5">
        <v>1</v>
      </c>
      <c r="J12" s="8">
        <v>450</v>
      </c>
      <c r="K12" s="8">
        <v>225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2"/>
      <c r="X12" s="12">
        <v>225</v>
      </c>
      <c r="Y12" s="12">
        <v>40.5</v>
      </c>
      <c r="Z12" s="12">
        <f t="shared" ref="Z12:Z75" si="0">X12+Y12</f>
        <v>265.5</v>
      </c>
      <c r="AA12" s="12">
        <v>277</v>
      </c>
      <c r="AB12" s="8"/>
    </row>
    <row r="13" spans="1:28" x14ac:dyDescent="0.25">
      <c r="B13" s="6" t="s">
        <v>39</v>
      </c>
      <c r="C13" s="17">
        <v>7.2222222222222229E-2</v>
      </c>
      <c r="D13" s="11">
        <v>44380</v>
      </c>
      <c r="E13" s="5" t="s">
        <v>31</v>
      </c>
      <c r="F13" s="5">
        <v>6643</v>
      </c>
      <c r="G13" s="5">
        <v>3</v>
      </c>
      <c r="H13" s="5">
        <v>3</v>
      </c>
      <c r="J13" s="8">
        <v>1650</v>
      </c>
      <c r="K13" s="8">
        <v>825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2"/>
      <c r="X13" s="12">
        <v>825</v>
      </c>
      <c r="Y13" s="12">
        <f>74.25+74.25</f>
        <v>148.5</v>
      </c>
      <c r="Z13" s="12">
        <f t="shared" si="0"/>
        <v>973.5</v>
      </c>
      <c r="AA13" s="12">
        <v>177</v>
      </c>
    </row>
    <row r="14" spans="1:28" x14ac:dyDescent="0.25">
      <c r="B14" s="6" t="s">
        <v>39</v>
      </c>
      <c r="C14" s="17">
        <v>0.38680555555555557</v>
      </c>
      <c r="D14" s="11">
        <v>44393</v>
      </c>
      <c r="E14" s="5" t="s">
        <v>31</v>
      </c>
      <c r="F14" s="5">
        <v>6877</v>
      </c>
      <c r="G14" s="5">
        <v>5</v>
      </c>
      <c r="H14" s="5">
        <v>5</v>
      </c>
      <c r="J14" s="8">
        <v>3495</v>
      </c>
      <c r="K14" s="8">
        <v>699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2"/>
      <c r="X14" s="12">
        <v>2796</v>
      </c>
      <c r="Y14" s="12">
        <f>251.64+251.64</f>
        <v>503.28</v>
      </c>
      <c r="Z14" s="12">
        <f t="shared" si="0"/>
        <v>3299.2799999999997</v>
      </c>
      <c r="AA14" s="12">
        <v>177</v>
      </c>
    </row>
    <row r="15" spans="1:28" x14ac:dyDescent="0.25">
      <c r="B15" s="6" t="s">
        <v>40</v>
      </c>
      <c r="C15" s="17">
        <v>0.43541666666666662</v>
      </c>
      <c r="D15" s="11">
        <v>44396</v>
      </c>
      <c r="E15" s="5" t="s">
        <v>31</v>
      </c>
      <c r="F15" s="5">
        <v>6947</v>
      </c>
      <c r="G15" s="5">
        <v>6</v>
      </c>
      <c r="H15" s="5">
        <v>6</v>
      </c>
      <c r="J15" s="8">
        <v>6000</v>
      </c>
      <c r="K15" s="8">
        <v>3000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2"/>
      <c r="X15" s="12">
        <v>3000</v>
      </c>
      <c r="Y15" s="12">
        <v>540</v>
      </c>
      <c r="Z15" s="12">
        <f t="shared" si="0"/>
        <v>3540</v>
      </c>
      <c r="AA15" s="12">
        <v>177</v>
      </c>
    </row>
    <row r="16" spans="1:28" x14ac:dyDescent="0.25">
      <c r="B16" s="6">
        <v>12305701</v>
      </c>
      <c r="C16" s="17">
        <v>0.48888888888888887</v>
      </c>
      <c r="D16" s="11">
        <v>44401</v>
      </c>
      <c r="E16" s="5" t="s">
        <v>30</v>
      </c>
      <c r="F16" s="5">
        <v>1695</v>
      </c>
      <c r="G16" s="5">
        <v>1</v>
      </c>
      <c r="H16" s="5">
        <v>1</v>
      </c>
      <c r="J16" s="8">
        <v>1150</v>
      </c>
      <c r="K16" s="8">
        <v>340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2"/>
      <c r="X16" s="12">
        <v>1360</v>
      </c>
      <c r="Y16" s="12">
        <f>122.4+122.4</f>
        <v>244.8</v>
      </c>
      <c r="Z16" s="12">
        <f t="shared" si="0"/>
        <v>1604.8</v>
      </c>
      <c r="AA16" s="12">
        <v>177</v>
      </c>
    </row>
    <row r="17" spans="2:28" x14ac:dyDescent="0.25">
      <c r="B17" s="6">
        <v>12305701</v>
      </c>
      <c r="C17" s="17" t="s">
        <v>41</v>
      </c>
      <c r="D17" s="11">
        <v>44401</v>
      </c>
      <c r="E17" s="5" t="s">
        <v>30</v>
      </c>
      <c r="F17" s="5">
        <v>1672</v>
      </c>
      <c r="G17" s="5">
        <v>1</v>
      </c>
      <c r="H17" s="5">
        <v>1</v>
      </c>
      <c r="J17" s="8">
        <v>1300</v>
      </c>
      <c r="K17" s="8">
        <v>260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2"/>
      <c r="X17" s="12">
        <v>1040</v>
      </c>
      <c r="Y17" s="12">
        <f>93.6+93.6</f>
        <v>187.2</v>
      </c>
      <c r="Z17" s="12">
        <f t="shared" si="0"/>
        <v>1227.2</v>
      </c>
      <c r="AA17" s="12">
        <v>758</v>
      </c>
    </row>
    <row r="18" spans="2:28" x14ac:dyDescent="0.25">
      <c r="B18" s="6">
        <v>14200051</v>
      </c>
      <c r="C18" s="17">
        <v>0.31666666666666665</v>
      </c>
      <c r="D18" s="11">
        <v>44402</v>
      </c>
      <c r="E18" s="5" t="s">
        <v>31</v>
      </c>
      <c r="F18" s="5">
        <v>6087</v>
      </c>
      <c r="G18" s="5">
        <v>1</v>
      </c>
      <c r="H18" s="5">
        <v>1</v>
      </c>
      <c r="J18" s="8">
        <v>1100</v>
      </c>
      <c r="K18" s="8">
        <v>550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2"/>
      <c r="X18" s="12">
        <v>550</v>
      </c>
      <c r="Y18" s="12">
        <v>99</v>
      </c>
      <c r="Z18" s="12">
        <f t="shared" si="0"/>
        <v>649</v>
      </c>
      <c r="AA18" s="12">
        <v>758</v>
      </c>
    </row>
    <row r="19" spans="2:28" x14ac:dyDescent="0.25">
      <c r="B19" s="6" t="s">
        <v>39</v>
      </c>
      <c r="C19" s="17">
        <v>0.10625</v>
      </c>
      <c r="D19" s="11">
        <v>44403</v>
      </c>
      <c r="E19" s="5" t="s">
        <v>31</v>
      </c>
      <c r="F19" s="5">
        <v>6102</v>
      </c>
      <c r="G19" s="5">
        <v>3</v>
      </c>
      <c r="H19" s="5">
        <v>3</v>
      </c>
      <c r="J19" s="8">
        <v>2700</v>
      </c>
      <c r="K19" s="8">
        <v>1350</v>
      </c>
      <c r="L19" s="8">
        <v>525</v>
      </c>
      <c r="M19" s="8">
        <v>262.5</v>
      </c>
      <c r="N19" s="8"/>
      <c r="O19" s="8"/>
      <c r="P19" s="8"/>
      <c r="Q19" s="8"/>
      <c r="R19" s="8"/>
      <c r="S19" s="8"/>
      <c r="T19" s="8"/>
      <c r="U19" s="8"/>
      <c r="V19" s="8"/>
      <c r="W19" s="12"/>
      <c r="X19" s="12">
        <v>1612.5</v>
      </c>
      <c r="Y19" s="12">
        <f>145.13+145.13</f>
        <v>290.26</v>
      </c>
      <c r="Z19" s="12">
        <f t="shared" si="0"/>
        <v>1902.76</v>
      </c>
      <c r="AA19" s="12">
        <v>177</v>
      </c>
      <c r="AB19" s="8"/>
    </row>
    <row r="20" spans="2:28" x14ac:dyDescent="0.25">
      <c r="B20" s="6" t="s">
        <v>42</v>
      </c>
      <c r="C20" s="17">
        <v>0.42986111111111108</v>
      </c>
      <c r="D20" s="11">
        <v>44405</v>
      </c>
      <c r="E20" s="5" t="s">
        <v>31</v>
      </c>
      <c r="F20" s="5">
        <v>6170</v>
      </c>
      <c r="G20" s="5">
        <v>3</v>
      </c>
      <c r="H20" s="5">
        <v>3</v>
      </c>
      <c r="J20" s="8">
        <v>2300</v>
      </c>
      <c r="K20" s="8">
        <v>1150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2"/>
      <c r="X20" s="12">
        <v>1150</v>
      </c>
      <c r="Y20" s="12">
        <v>207</v>
      </c>
      <c r="Z20" s="12">
        <f t="shared" si="0"/>
        <v>1357</v>
      </c>
      <c r="AA20" s="12">
        <v>758</v>
      </c>
      <c r="AB20" s="8"/>
    </row>
    <row r="21" spans="2:28" x14ac:dyDescent="0.25">
      <c r="B21" s="6">
        <v>14440001</v>
      </c>
      <c r="C21" s="17">
        <v>0.33819444444444446</v>
      </c>
      <c r="D21" s="11">
        <v>44405</v>
      </c>
      <c r="E21" s="5" t="s">
        <v>31</v>
      </c>
      <c r="F21" s="5">
        <v>6162</v>
      </c>
      <c r="G21" s="5">
        <v>2</v>
      </c>
      <c r="H21" s="5">
        <v>2</v>
      </c>
      <c r="J21" s="8">
        <v>1000</v>
      </c>
      <c r="K21" s="8">
        <v>500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2"/>
      <c r="X21" s="12">
        <v>500</v>
      </c>
      <c r="Y21" s="12">
        <v>90</v>
      </c>
      <c r="Z21" s="12">
        <f t="shared" si="0"/>
        <v>590</v>
      </c>
      <c r="AA21" s="12">
        <v>758</v>
      </c>
    </row>
    <row r="22" spans="2:28" x14ac:dyDescent="0.25">
      <c r="B22" s="6">
        <v>12405001</v>
      </c>
      <c r="C22" s="17">
        <v>0.34027777777777773</v>
      </c>
      <c r="D22" s="11">
        <v>44408</v>
      </c>
      <c r="E22" s="5" t="s">
        <v>31</v>
      </c>
      <c r="F22" s="5">
        <v>2087</v>
      </c>
      <c r="G22" s="5">
        <v>1</v>
      </c>
      <c r="H22" s="5">
        <v>1</v>
      </c>
      <c r="J22" s="8">
        <v>650</v>
      </c>
      <c r="K22" s="8">
        <v>130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2"/>
      <c r="X22" s="12">
        <v>520</v>
      </c>
      <c r="Y22" s="12">
        <f>46.8+46.8</f>
        <v>93.6</v>
      </c>
      <c r="Z22" s="12">
        <f t="shared" si="0"/>
        <v>613.6</v>
      </c>
      <c r="AA22" s="12">
        <v>759</v>
      </c>
    </row>
    <row r="23" spans="2:28" x14ac:dyDescent="0.25">
      <c r="B23" s="6" t="s">
        <v>40</v>
      </c>
      <c r="C23" s="17">
        <v>0.30416666666666664</v>
      </c>
      <c r="D23" s="11">
        <v>44409</v>
      </c>
      <c r="E23" s="5" t="s">
        <v>31</v>
      </c>
      <c r="F23" s="5">
        <v>2153</v>
      </c>
      <c r="G23" s="5">
        <v>1</v>
      </c>
      <c r="H23" s="5">
        <v>1</v>
      </c>
      <c r="J23" s="8">
        <v>550</v>
      </c>
      <c r="K23" s="8">
        <v>110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>
        <v>440</v>
      </c>
      <c r="Y23" s="8">
        <f>39.6+39.6</f>
        <v>79.2</v>
      </c>
      <c r="Z23" s="12">
        <f t="shared" si="0"/>
        <v>519.20000000000005</v>
      </c>
      <c r="AA23" s="7" t="s">
        <v>46</v>
      </c>
    </row>
    <row r="24" spans="2:28" x14ac:dyDescent="0.25">
      <c r="B24" s="6">
        <v>12146451</v>
      </c>
      <c r="C24" s="17">
        <v>0.33402777777777781</v>
      </c>
      <c r="D24" s="11">
        <v>44413</v>
      </c>
      <c r="E24" s="5" t="s">
        <v>31</v>
      </c>
      <c r="F24" s="5">
        <v>6362</v>
      </c>
      <c r="G24" s="5">
        <v>2</v>
      </c>
      <c r="H24" s="5">
        <v>2</v>
      </c>
      <c r="J24" s="8">
        <v>2000</v>
      </c>
      <c r="K24" s="8">
        <v>1000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>
        <v>1000</v>
      </c>
      <c r="Y24" s="8">
        <v>180</v>
      </c>
      <c r="Z24" s="12">
        <f t="shared" si="0"/>
        <v>1180</v>
      </c>
      <c r="AA24" s="7" t="s">
        <v>46</v>
      </c>
    </row>
    <row r="25" spans="2:28" x14ac:dyDescent="0.25">
      <c r="B25" s="6" t="s">
        <v>43</v>
      </c>
      <c r="C25" s="17">
        <v>0.3520833333333333</v>
      </c>
      <c r="D25" s="11">
        <v>44414</v>
      </c>
      <c r="E25" s="5" t="s">
        <v>30</v>
      </c>
      <c r="F25" s="5">
        <v>2572</v>
      </c>
      <c r="G25" s="5">
        <v>2</v>
      </c>
      <c r="H25" s="5">
        <v>2</v>
      </c>
      <c r="J25" s="8">
        <v>1175</v>
      </c>
      <c r="K25" s="8">
        <v>235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>
        <v>940</v>
      </c>
      <c r="Y25" s="8">
        <f>84.6+84.6</f>
        <v>169.2</v>
      </c>
      <c r="Z25" s="12">
        <f t="shared" si="0"/>
        <v>1109.2</v>
      </c>
      <c r="AA25" s="7" t="s">
        <v>46</v>
      </c>
      <c r="AB25" s="8"/>
    </row>
    <row r="26" spans="2:28" x14ac:dyDescent="0.25">
      <c r="B26" s="6" t="s">
        <v>44</v>
      </c>
      <c r="C26" s="17">
        <v>0.15208333333333332</v>
      </c>
      <c r="D26" s="11">
        <v>44414</v>
      </c>
      <c r="E26" s="5" t="s">
        <v>31</v>
      </c>
      <c r="F26" s="5">
        <v>6392</v>
      </c>
      <c r="G26" s="5">
        <v>2</v>
      </c>
      <c r="H26" s="5">
        <v>2</v>
      </c>
      <c r="J26" s="8">
        <v>1625</v>
      </c>
      <c r="K26" s="8">
        <v>812.5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>
        <v>812.5</v>
      </c>
      <c r="Y26" s="8">
        <f>73.13+73.13</f>
        <v>146.26</v>
      </c>
      <c r="Z26" s="12">
        <f t="shared" si="0"/>
        <v>958.76</v>
      </c>
      <c r="AA26" s="7" t="s">
        <v>46</v>
      </c>
    </row>
    <row r="27" spans="2:28" x14ac:dyDescent="0.25">
      <c r="B27" s="6">
        <v>12505701</v>
      </c>
      <c r="C27" s="17">
        <v>0.39861111111111108</v>
      </c>
      <c r="D27" s="11">
        <v>44415</v>
      </c>
      <c r="E27" s="5" t="s">
        <v>30</v>
      </c>
      <c r="F27" s="5">
        <v>2674</v>
      </c>
      <c r="G27" s="5">
        <v>1</v>
      </c>
      <c r="H27" s="5">
        <v>1</v>
      </c>
      <c r="J27" s="8">
        <v>650</v>
      </c>
      <c r="K27" s="8">
        <v>130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>
        <v>520</v>
      </c>
      <c r="Y27" s="8">
        <f>46.8+46.8</f>
        <v>93.6</v>
      </c>
      <c r="Z27" s="12">
        <f t="shared" si="0"/>
        <v>613.6</v>
      </c>
      <c r="AA27" s="7" t="s">
        <v>47</v>
      </c>
    </row>
    <row r="28" spans="2:28" x14ac:dyDescent="0.25">
      <c r="B28" s="6" t="s">
        <v>39</v>
      </c>
      <c r="C28" s="17">
        <v>0.10972222222222222</v>
      </c>
      <c r="D28" s="11">
        <v>44415</v>
      </c>
      <c r="E28" s="5" t="s">
        <v>30</v>
      </c>
      <c r="F28" s="5">
        <v>2641</v>
      </c>
      <c r="G28" s="5">
        <v>1</v>
      </c>
      <c r="H28" s="5">
        <v>1</v>
      </c>
      <c r="J28" s="8">
        <v>2525</v>
      </c>
      <c r="K28" s="8">
        <v>505</v>
      </c>
      <c r="L28" s="1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>
        <v>2195</v>
      </c>
      <c r="Y28" s="8">
        <f>197.55+197.55</f>
        <v>395.1</v>
      </c>
      <c r="Z28" s="12">
        <f t="shared" si="0"/>
        <v>2590.1</v>
      </c>
      <c r="AA28" s="7" t="s">
        <v>47</v>
      </c>
      <c r="AB28" s="8"/>
    </row>
    <row r="29" spans="2:28" x14ac:dyDescent="0.25">
      <c r="B29" s="6">
        <v>12146451</v>
      </c>
      <c r="C29" s="17">
        <v>0.3576388888888889</v>
      </c>
      <c r="D29" s="11">
        <v>44415</v>
      </c>
      <c r="E29" s="5" t="s">
        <v>31</v>
      </c>
      <c r="F29" s="5">
        <v>6441</v>
      </c>
      <c r="G29" s="5">
        <v>2</v>
      </c>
      <c r="H29" s="5">
        <v>2</v>
      </c>
      <c r="J29" s="8">
        <v>1150</v>
      </c>
      <c r="K29" s="8">
        <v>575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>
        <v>575</v>
      </c>
      <c r="Y29" s="8">
        <f>51.75+51.75</f>
        <v>103.5</v>
      </c>
      <c r="Z29" s="12">
        <f t="shared" si="0"/>
        <v>678.5</v>
      </c>
      <c r="AA29" s="7" t="s">
        <v>47</v>
      </c>
      <c r="AB29" s="8"/>
    </row>
    <row r="30" spans="2:28" x14ac:dyDescent="0.25">
      <c r="B30" s="6">
        <v>13146451</v>
      </c>
      <c r="C30" s="17">
        <v>0.1451388888888889</v>
      </c>
      <c r="D30" s="11">
        <v>44415</v>
      </c>
      <c r="E30" s="5" t="s">
        <v>31</v>
      </c>
      <c r="F30" s="5">
        <v>6434</v>
      </c>
      <c r="G30" s="5">
        <v>2</v>
      </c>
      <c r="H30" s="5">
        <v>2</v>
      </c>
      <c r="J30" s="8">
        <v>2598</v>
      </c>
      <c r="K30" s="8">
        <v>1299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>
        <v>1299</v>
      </c>
      <c r="Y30" s="8">
        <f>116.91+116.91</f>
        <v>233.82</v>
      </c>
      <c r="Z30" s="12">
        <f t="shared" si="0"/>
        <v>1532.82</v>
      </c>
      <c r="AA30" s="7" t="s">
        <v>47</v>
      </c>
      <c r="AB30" s="8"/>
    </row>
    <row r="31" spans="2:28" x14ac:dyDescent="0.25">
      <c r="B31" s="6" t="s">
        <v>45</v>
      </c>
      <c r="C31" s="17">
        <v>9.6527777777777768E-2</v>
      </c>
      <c r="D31" s="11">
        <v>44415</v>
      </c>
      <c r="E31" s="5" t="s">
        <v>31</v>
      </c>
      <c r="F31" s="5">
        <v>6424</v>
      </c>
      <c r="G31" s="5">
        <v>6</v>
      </c>
      <c r="H31" s="5">
        <v>6</v>
      </c>
      <c r="J31" s="8">
        <v>6495</v>
      </c>
      <c r="K31" s="8">
        <v>3247.5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>
        <v>3247.5</v>
      </c>
      <c r="Y31" s="8">
        <f>292.28+292.28</f>
        <v>584.55999999999995</v>
      </c>
      <c r="Z31" s="12">
        <f t="shared" si="0"/>
        <v>3832.06</v>
      </c>
      <c r="AA31" s="7" t="s">
        <v>47</v>
      </c>
      <c r="AB31" s="8"/>
    </row>
    <row r="32" spans="2:28" x14ac:dyDescent="0.25">
      <c r="B32" s="6">
        <v>12575881</v>
      </c>
      <c r="C32" s="17">
        <v>0.53333333333333333</v>
      </c>
      <c r="D32" s="11">
        <v>44415</v>
      </c>
      <c r="E32" s="5" t="s">
        <v>31</v>
      </c>
      <c r="F32" s="5">
        <v>6417</v>
      </c>
      <c r="G32" s="5">
        <v>2</v>
      </c>
      <c r="H32" s="5">
        <v>2</v>
      </c>
      <c r="J32" s="8">
        <v>2598</v>
      </c>
      <c r="K32" s="8">
        <v>1299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>
        <v>1299</v>
      </c>
      <c r="Y32" s="8">
        <f>116.91+116.91</f>
        <v>233.82</v>
      </c>
      <c r="Z32" s="12">
        <f t="shared" si="0"/>
        <v>1532.82</v>
      </c>
      <c r="AA32" s="7" t="s">
        <v>47</v>
      </c>
      <c r="AB32" s="8"/>
    </row>
    <row r="33" spans="2:28" x14ac:dyDescent="0.25">
      <c r="B33" s="6" t="s">
        <v>39</v>
      </c>
      <c r="C33" s="17">
        <v>0.31180555555555556</v>
      </c>
      <c r="D33" s="11">
        <v>44416</v>
      </c>
      <c r="E33" s="5" t="s">
        <v>31</v>
      </c>
      <c r="F33" s="5">
        <v>6463</v>
      </c>
      <c r="G33" s="5">
        <v>2</v>
      </c>
      <c r="H33" s="5">
        <v>2</v>
      </c>
      <c r="J33" s="8">
        <v>2300</v>
      </c>
      <c r="K33" s="8">
        <v>1150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>
        <v>1150</v>
      </c>
      <c r="Y33" s="8">
        <v>207</v>
      </c>
      <c r="Z33" s="12">
        <f t="shared" si="0"/>
        <v>1357</v>
      </c>
      <c r="AA33" s="7" t="s">
        <v>48</v>
      </c>
      <c r="AB33" s="8"/>
    </row>
    <row r="34" spans="2:28" x14ac:dyDescent="0.25">
      <c r="B34" s="6">
        <v>12146451</v>
      </c>
      <c r="C34" s="17">
        <v>7.5694444444444439E-2</v>
      </c>
      <c r="D34" s="11">
        <v>44416</v>
      </c>
      <c r="E34" s="5" t="s">
        <v>31</v>
      </c>
      <c r="F34" s="5">
        <v>6455</v>
      </c>
      <c r="G34" s="5">
        <v>2</v>
      </c>
      <c r="H34" s="5">
        <v>2</v>
      </c>
      <c r="J34" s="8">
        <v>1248</v>
      </c>
      <c r="K34" s="8">
        <v>624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>
        <v>624</v>
      </c>
      <c r="Y34" s="8">
        <f>56.16+56.16</f>
        <v>112.32</v>
      </c>
      <c r="Z34" s="12">
        <f t="shared" si="0"/>
        <v>736.31999999999994</v>
      </c>
      <c r="AA34" s="7" t="s">
        <v>48</v>
      </c>
      <c r="AB34" s="8"/>
    </row>
    <row r="35" spans="2:28" x14ac:dyDescent="0.25">
      <c r="B35" s="6" t="s">
        <v>40</v>
      </c>
      <c r="C35" s="17">
        <v>0.44097222222222227</v>
      </c>
      <c r="D35" s="11">
        <v>44418</v>
      </c>
      <c r="E35" s="5" t="s">
        <v>31</v>
      </c>
      <c r="F35" s="5">
        <v>6491</v>
      </c>
      <c r="G35" s="5">
        <v>2</v>
      </c>
      <c r="H35" s="5">
        <v>2</v>
      </c>
      <c r="J35" s="8">
        <v>1398</v>
      </c>
      <c r="K35" s="8">
        <v>699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>
        <v>699</v>
      </c>
      <c r="Y35" s="8">
        <f>62.91+62.91</f>
        <v>125.82</v>
      </c>
      <c r="Z35" s="12">
        <f t="shared" si="0"/>
        <v>824.81999999999994</v>
      </c>
      <c r="AA35" s="7" t="s">
        <v>48</v>
      </c>
      <c r="AB35" s="8"/>
    </row>
    <row r="36" spans="2:28" x14ac:dyDescent="0.25">
      <c r="B36" s="6" t="s">
        <v>49</v>
      </c>
      <c r="C36" s="17">
        <v>9.7916666666666666E-2</v>
      </c>
      <c r="D36" s="11">
        <v>44421</v>
      </c>
      <c r="E36" s="5" t="s">
        <v>31</v>
      </c>
      <c r="F36" s="5">
        <v>6578</v>
      </c>
      <c r="G36" s="5">
        <v>7</v>
      </c>
      <c r="H36" s="5">
        <v>7</v>
      </c>
      <c r="J36" s="8">
        <v>6993</v>
      </c>
      <c r="K36" s="8">
        <v>3496</v>
      </c>
      <c r="L36" s="8">
        <v>875</v>
      </c>
      <c r="M36" s="8">
        <v>437.5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>
        <v>3934</v>
      </c>
      <c r="Y36" s="8">
        <f>354.06+354.06</f>
        <v>708.12</v>
      </c>
      <c r="Z36" s="12">
        <f t="shared" si="0"/>
        <v>4642.12</v>
      </c>
      <c r="AA36" s="7" t="s">
        <v>46</v>
      </c>
      <c r="AB36" s="8"/>
    </row>
    <row r="37" spans="2:28" x14ac:dyDescent="0.25">
      <c r="B37" s="6" t="s">
        <v>39</v>
      </c>
      <c r="C37" s="17">
        <v>9.7222222222222224E-2</v>
      </c>
      <c r="D37" s="11">
        <v>44422</v>
      </c>
      <c r="E37" s="5" t="s">
        <v>31</v>
      </c>
      <c r="F37" s="5">
        <v>6623</v>
      </c>
      <c r="G37" s="5">
        <v>2</v>
      </c>
      <c r="H37" s="5">
        <v>2</v>
      </c>
      <c r="J37" s="8">
        <v>1299</v>
      </c>
      <c r="K37" s="8">
        <v>649.5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>
        <v>649.5</v>
      </c>
      <c r="Y37" s="8">
        <f>58.46+58.46</f>
        <v>116.92</v>
      </c>
      <c r="Z37" s="12">
        <f t="shared" si="0"/>
        <v>766.42</v>
      </c>
      <c r="AA37" s="7" t="s">
        <v>46</v>
      </c>
    </row>
    <row r="38" spans="2:28" x14ac:dyDescent="0.25">
      <c r="B38" s="6">
        <v>12328501</v>
      </c>
      <c r="C38" s="17">
        <v>7.0833333333333331E-2</v>
      </c>
      <c r="D38" s="11">
        <v>44423</v>
      </c>
      <c r="E38" s="5" t="s">
        <v>31</v>
      </c>
      <c r="F38" s="5">
        <v>6655</v>
      </c>
      <c r="G38" s="5">
        <v>3</v>
      </c>
      <c r="H38" s="5">
        <v>3</v>
      </c>
      <c r="J38" s="8">
        <v>4497</v>
      </c>
      <c r="K38" s="8">
        <v>899.4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>
        <v>3597.6</v>
      </c>
      <c r="Y38" s="8">
        <f>323.78+323.78</f>
        <v>647.55999999999995</v>
      </c>
      <c r="Z38" s="12">
        <f t="shared" si="0"/>
        <v>4245.16</v>
      </c>
      <c r="AA38" s="7" t="s">
        <v>46</v>
      </c>
    </row>
    <row r="39" spans="2:28" x14ac:dyDescent="0.25">
      <c r="B39" s="6">
        <v>12776371</v>
      </c>
      <c r="C39" s="17">
        <v>4.4444444444444446E-2</v>
      </c>
      <c r="D39" s="11">
        <v>44424</v>
      </c>
      <c r="E39" s="5" t="s">
        <v>31</v>
      </c>
      <c r="F39" s="5">
        <v>6683</v>
      </c>
      <c r="G39" s="5">
        <v>2</v>
      </c>
      <c r="H39" s="5">
        <v>2</v>
      </c>
      <c r="J39" s="8">
        <v>1825</v>
      </c>
      <c r="K39" s="8">
        <v>912.5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>
        <v>912.5</v>
      </c>
      <c r="Y39" s="8">
        <f>82.13+82.13</f>
        <v>164.26</v>
      </c>
      <c r="Z39" s="12">
        <f t="shared" si="0"/>
        <v>1076.76</v>
      </c>
      <c r="AA39" s="7" t="s">
        <v>50</v>
      </c>
    </row>
    <row r="40" spans="2:28" x14ac:dyDescent="0.25">
      <c r="B40" s="6">
        <v>14937331</v>
      </c>
      <c r="C40" s="17">
        <v>0.32916666666666666</v>
      </c>
      <c r="D40" s="11">
        <v>44426</v>
      </c>
      <c r="E40" s="5" t="s">
        <v>31</v>
      </c>
      <c r="F40" s="5">
        <v>3323</v>
      </c>
      <c r="G40" s="5">
        <v>2</v>
      </c>
      <c r="H40" s="5">
        <v>2</v>
      </c>
      <c r="J40" s="8">
        <v>600</v>
      </c>
      <c r="K40" s="8">
        <v>600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>
        <v>600</v>
      </c>
      <c r="Y40" s="8">
        <v>120</v>
      </c>
      <c r="Z40" s="12">
        <f t="shared" si="0"/>
        <v>720</v>
      </c>
      <c r="AA40" s="7" t="s">
        <v>50</v>
      </c>
    </row>
    <row r="41" spans="2:28" x14ac:dyDescent="0.25">
      <c r="B41" s="6">
        <v>12776371</v>
      </c>
      <c r="C41" s="17">
        <v>0.3347222222222222</v>
      </c>
      <c r="D41" s="11">
        <v>44426</v>
      </c>
      <c r="E41" s="5" t="s">
        <v>31</v>
      </c>
      <c r="F41" s="5">
        <v>6767</v>
      </c>
      <c r="G41" s="5">
        <v>2</v>
      </c>
      <c r="H41" s="5">
        <v>2</v>
      </c>
      <c r="J41" s="8">
        <v>875</v>
      </c>
      <c r="K41" s="8">
        <v>437.5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>
        <v>437.5</v>
      </c>
      <c r="Y41" s="8">
        <f>39.38+39.38</f>
        <v>78.760000000000005</v>
      </c>
      <c r="Z41" s="12">
        <f t="shared" si="0"/>
        <v>516.26</v>
      </c>
      <c r="AA41" s="7" t="s">
        <v>50</v>
      </c>
    </row>
    <row r="42" spans="2:28" x14ac:dyDescent="0.25">
      <c r="B42" s="6" t="s">
        <v>51</v>
      </c>
      <c r="C42" s="17">
        <v>0.28888888888888892</v>
      </c>
      <c r="D42" s="11">
        <v>44426</v>
      </c>
      <c r="E42" s="5" t="s">
        <v>31</v>
      </c>
      <c r="F42" s="5">
        <v>6763</v>
      </c>
      <c r="G42" s="5">
        <v>3</v>
      </c>
      <c r="H42" s="5">
        <v>3</v>
      </c>
      <c r="J42" s="8">
        <v>2425</v>
      </c>
      <c r="K42" s="8">
        <v>1212.5</v>
      </c>
      <c r="L42" s="8">
        <v>350</v>
      </c>
      <c r="M42" s="8">
        <v>175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>
        <v>1387.5</v>
      </c>
      <c r="Y42" s="8">
        <f>124.88+124.88</f>
        <v>249.76</v>
      </c>
      <c r="Z42" s="12">
        <f t="shared" si="0"/>
        <v>1637.26</v>
      </c>
      <c r="AA42" s="7" t="s">
        <v>47</v>
      </c>
    </row>
    <row r="43" spans="2:28" x14ac:dyDescent="0.25">
      <c r="B43" s="6" t="s">
        <v>39</v>
      </c>
      <c r="C43" s="17">
        <v>0.37152777777777773</v>
      </c>
      <c r="D43" s="11">
        <v>44429</v>
      </c>
      <c r="E43" s="5" t="s">
        <v>31</v>
      </c>
      <c r="F43" s="5">
        <v>6909</v>
      </c>
      <c r="G43" s="5">
        <v>3</v>
      </c>
      <c r="H43" s="5">
        <v>3</v>
      </c>
      <c r="J43" s="8">
        <v>3900</v>
      </c>
      <c r="K43" s="8">
        <v>1200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>
        <v>3600</v>
      </c>
      <c r="Y43" s="8">
        <f>324+324</f>
        <v>648</v>
      </c>
      <c r="Z43" s="12">
        <f t="shared" si="0"/>
        <v>4248</v>
      </c>
      <c r="AA43" s="7" t="s">
        <v>52</v>
      </c>
    </row>
    <row r="44" spans="2:28" x14ac:dyDescent="0.25">
      <c r="B44" s="6" t="s">
        <v>53</v>
      </c>
      <c r="C44" s="17">
        <v>0.34513888888888888</v>
      </c>
      <c r="D44" s="11">
        <v>44432</v>
      </c>
      <c r="E44" s="5" t="s">
        <v>31</v>
      </c>
      <c r="F44" s="5">
        <v>6010</v>
      </c>
      <c r="G44" s="5">
        <v>8</v>
      </c>
      <c r="H44" s="5">
        <v>8</v>
      </c>
      <c r="J44" s="8">
        <f>K44*2</f>
        <v>9965</v>
      </c>
      <c r="K44" s="8">
        <v>4982.5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>
        <v>7432.5</v>
      </c>
      <c r="Y44" s="8">
        <f>668.93+668.93</f>
        <v>1337.86</v>
      </c>
      <c r="Z44" s="12">
        <f t="shared" si="0"/>
        <v>8770.36</v>
      </c>
      <c r="AA44" s="7" t="s">
        <v>52</v>
      </c>
    </row>
    <row r="45" spans="2:28" x14ac:dyDescent="0.25">
      <c r="B45" s="6">
        <v>14871681</v>
      </c>
      <c r="C45" s="17">
        <v>0.50416666666666665</v>
      </c>
      <c r="D45" s="11">
        <v>44435</v>
      </c>
      <c r="E45" s="5" t="s">
        <v>30</v>
      </c>
      <c r="F45" s="5">
        <v>2378</v>
      </c>
      <c r="G45" s="5">
        <v>1</v>
      </c>
      <c r="H45" s="5">
        <v>1</v>
      </c>
      <c r="J45" s="8">
        <v>1100</v>
      </c>
      <c r="K45" s="8">
        <v>220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>
        <v>880</v>
      </c>
      <c r="Y45" s="8">
        <f>79.2+79.2</f>
        <v>158.4</v>
      </c>
      <c r="Z45" s="12">
        <f t="shared" si="0"/>
        <v>1038.4000000000001</v>
      </c>
      <c r="AA45" s="7" t="s">
        <v>54</v>
      </c>
    </row>
    <row r="46" spans="2:28" x14ac:dyDescent="0.25">
      <c r="B46" s="6">
        <v>14871681</v>
      </c>
      <c r="C46" s="17">
        <v>0.49583333333333335</v>
      </c>
      <c r="D46" s="11">
        <v>44435</v>
      </c>
      <c r="E46" s="5" t="s">
        <v>30</v>
      </c>
      <c r="F46" s="5">
        <v>2376</v>
      </c>
      <c r="G46" s="5">
        <v>1</v>
      </c>
      <c r="H46" s="5">
        <v>1</v>
      </c>
      <c r="J46" s="8">
        <v>450</v>
      </c>
      <c r="K46" s="8">
        <v>90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>
        <v>360</v>
      </c>
      <c r="Y46" s="8">
        <f>32.4+32.4</f>
        <v>64.8</v>
      </c>
      <c r="Z46" s="12">
        <f t="shared" si="0"/>
        <v>424.8</v>
      </c>
      <c r="AA46" s="7" t="s">
        <v>54</v>
      </c>
    </row>
    <row r="47" spans="2:28" x14ac:dyDescent="0.25">
      <c r="B47" s="6">
        <v>12575881</v>
      </c>
      <c r="C47" s="17">
        <v>8.1944444444444445E-2</v>
      </c>
      <c r="D47" s="11">
        <v>44435</v>
      </c>
      <c r="E47" s="5" t="s">
        <v>31</v>
      </c>
      <c r="F47" s="5">
        <v>6201</v>
      </c>
      <c r="G47" s="5">
        <v>1</v>
      </c>
      <c r="H47" s="5">
        <v>1</v>
      </c>
      <c r="J47" s="8">
        <v>1499</v>
      </c>
      <c r="K47" s="8">
        <v>749.5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>
        <v>749.5</v>
      </c>
      <c r="Y47" s="8">
        <f>67.46+67.46</f>
        <v>134.91999999999999</v>
      </c>
      <c r="Z47" s="12">
        <f t="shared" si="0"/>
        <v>884.42</v>
      </c>
      <c r="AA47" s="7" t="s">
        <v>54</v>
      </c>
    </row>
    <row r="48" spans="2:28" x14ac:dyDescent="0.25">
      <c r="B48" s="6">
        <v>12732591</v>
      </c>
      <c r="C48" s="17">
        <v>0.28819444444444448</v>
      </c>
      <c r="D48" s="11">
        <v>44439</v>
      </c>
      <c r="E48" s="5" t="s">
        <v>55</v>
      </c>
      <c r="F48" s="5">
        <v>3453</v>
      </c>
      <c r="G48" s="5">
        <v>1</v>
      </c>
      <c r="H48" s="5">
        <v>1</v>
      </c>
      <c r="J48" s="8"/>
      <c r="K48" s="8"/>
      <c r="L48" s="8"/>
      <c r="M48" s="8"/>
      <c r="N48" s="8"/>
      <c r="O48" s="8"/>
      <c r="P48" s="8">
        <v>6600</v>
      </c>
      <c r="Q48" s="8">
        <v>3300</v>
      </c>
      <c r="R48" s="8"/>
      <c r="S48" s="8"/>
      <c r="T48" s="8"/>
      <c r="U48" s="8"/>
      <c r="V48" s="8"/>
      <c r="W48" s="8"/>
      <c r="X48" s="8">
        <v>3300</v>
      </c>
      <c r="Y48" s="8">
        <v>660</v>
      </c>
      <c r="Z48" s="12">
        <f t="shared" si="0"/>
        <v>3960</v>
      </c>
      <c r="AA48" s="7" t="s">
        <v>54</v>
      </c>
    </row>
    <row r="49" spans="2:27" x14ac:dyDescent="0.25">
      <c r="B49" s="6">
        <v>12732591</v>
      </c>
      <c r="C49" s="17">
        <v>0.36388888888888887</v>
      </c>
      <c r="D49" s="11">
        <v>44439</v>
      </c>
      <c r="E49" s="5" t="s">
        <v>55</v>
      </c>
      <c r="F49" s="5">
        <v>3457</v>
      </c>
      <c r="G49" s="5">
        <v>2</v>
      </c>
      <c r="H49" s="5">
        <v>2</v>
      </c>
      <c r="J49" s="8"/>
      <c r="K49" s="8"/>
      <c r="L49" s="8"/>
      <c r="M49" s="8"/>
      <c r="N49" s="8"/>
      <c r="O49" s="8"/>
      <c r="P49" s="8">
        <v>3300</v>
      </c>
      <c r="Q49" s="8">
        <v>660</v>
      </c>
      <c r="R49" s="8"/>
      <c r="S49" s="8"/>
      <c r="T49" s="8"/>
      <c r="U49" s="8"/>
      <c r="V49" s="8"/>
      <c r="W49" s="8"/>
      <c r="X49" s="8">
        <v>2640</v>
      </c>
      <c r="Y49" s="8">
        <v>528</v>
      </c>
      <c r="Z49" s="12">
        <f t="shared" si="0"/>
        <v>3168</v>
      </c>
      <c r="AA49" s="7" t="s">
        <v>54</v>
      </c>
    </row>
    <row r="50" spans="2:27" x14ac:dyDescent="0.25">
      <c r="B50" s="6">
        <v>12732591</v>
      </c>
      <c r="C50" s="17">
        <v>0.39652777777777781</v>
      </c>
      <c r="D50" s="11">
        <v>44439</v>
      </c>
      <c r="E50" s="5" t="s">
        <v>31</v>
      </c>
      <c r="F50" s="5">
        <v>6279</v>
      </c>
      <c r="G50" s="5">
        <v>4</v>
      </c>
      <c r="H50" s="5">
        <v>4</v>
      </c>
      <c r="J50" s="8">
        <v>4800</v>
      </c>
      <c r="K50" s="8">
        <v>2400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>
        <v>3000</v>
      </c>
      <c r="Y50" s="8">
        <f>270+270</f>
        <v>540</v>
      </c>
      <c r="Z50" s="12">
        <f t="shared" si="0"/>
        <v>3540</v>
      </c>
      <c r="AA50" s="7" t="s">
        <v>54</v>
      </c>
    </row>
    <row r="51" spans="2:27" x14ac:dyDescent="0.25">
      <c r="B51" s="6" t="s">
        <v>56</v>
      </c>
      <c r="C51" s="17">
        <v>0.43055555555555558</v>
      </c>
      <c r="D51" s="11">
        <v>44439</v>
      </c>
      <c r="E51" s="5" t="s">
        <v>31</v>
      </c>
      <c r="F51" s="5">
        <v>6248</v>
      </c>
      <c r="G51" s="5">
        <v>2</v>
      </c>
      <c r="H51" s="5">
        <v>2</v>
      </c>
      <c r="J51" s="8">
        <v>1398</v>
      </c>
      <c r="K51" s="8">
        <v>699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>
        <v>699</v>
      </c>
      <c r="Y51" s="8">
        <f>62.91+62.91</f>
        <v>125.82</v>
      </c>
      <c r="Z51" s="12">
        <f t="shared" si="0"/>
        <v>824.81999999999994</v>
      </c>
      <c r="AA51" s="7" t="s">
        <v>54</v>
      </c>
    </row>
    <row r="52" spans="2:27" x14ac:dyDescent="0.25">
      <c r="B52" s="6" t="s">
        <v>57</v>
      </c>
      <c r="C52" s="17">
        <v>8.5416666666666655E-2</v>
      </c>
      <c r="D52" s="11">
        <v>44440</v>
      </c>
      <c r="E52" s="5" t="s">
        <v>31</v>
      </c>
      <c r="F52" s="5">
        <v>6301</v>
      </c>
      <c r="G52" s="5">
        <v>4</v>
      </c>
      <c r="H52" s="5">
        <v>4</v>
      </c>
      <c r="J52" s="8">
        <v>4000</v>
      </c>
      <c r="K52" s="8">
        <v>2000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>
        <v>2000</v>
      </c>
      <c r="Y52" s="8">
        <v>360</v>
      </c>
      <c r="Z52" s="12">
        <f t="shared" si="0"/>
        <v>2360</v>
      </c>
      <c r="AA52" s="7" t="s">
        <v>47</v>
      </c>
    </row>
    <row r="53" spans="2:27" x14ac:dyDescent="0.25">
      <c r="B53" s="9" t="s">
        <v>58</v>
      </c>
      <c r="C53" s="17">
        <v>0.3527777777777778</v>
      </c>
      <c r="D53" s="11">
        <v>44441</v>
      </c>
      <c r="E53" s="5" t="s">
        <v>31</v>
      </c>
      <c r="F53" s="5">
        <v>6375</v>
      </c>
      <c r="G53" s="5">
        <v>6</v>
      </c>
      <c r="H53" s="5">
        <v>6</v>
      </c>
      <c r="J53" s="8">
        <v>6800</v>
      </c>
      <c r="K53" s="8">
        <v>3400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>
        <v>3400</v>
      </c>
      <c r="Y53" s="8">
        <f>306+306</f>
        <v>612</v>
      </c>
      <c r="Z53" s="12">
        <f t="shared" si="0"/>
        <v>4012</v>
      </c>
      <c r="AA53" s="7" t="s">
        <v>59</v>
      </c>
    </row>
    <row r="54" spans="2:27" x14ac:dyDescent="0.25">
      <c r="B54" s="9" t="s">
        <v>60</v>
      </c>
      <c r="C54" s="17">
        <v>0.5395833333333333</v>
      </c>
      <c r="D54" s="11">
        <v>44442</v>
      </c>
      <c r="E54" s="5" t="s">
        <v>31</v>
      </c>
      <c r="F54" s="5">
        <v>6408</v>
      </c>
      <c r="G54" s="5">
        <v>3</v>
      </c>
      <c r="H54" s="5">
        <v>3</v>
      </c>
      <c r="J54" s="8">
        <v>2000</v>
      </c>
      <c r="K54" s="8">
        <v>1000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>
        <v>1000</v>
      </c>
      <c r="Y54" s="8">
        <v>180</v>
      </c>
      <c r="Z54" s="12">
        <f t="shared" si="0"/>
        <v>1180</v>
      </c>
      <c r="AA54" s="7" t="s">
        <v>59</v>
      </c>
    </row>
    <row r="55" spans="2:27" x14ac:dyDescent="0.25">
      <c r="B55" s="9" t="s">
        <v>61</v>
      </c>
      <c r="C55" s="17">
        <v>0.3888888888888889</v>
      </c>
      <c r="D55" s="11">
        <v>44442</v>
      </c>
      <c r="E55" s="5" t="s">
        <v>31</v>
      </c>
      <c r="F55" s="5">
        <v>6433</v>
      </c>
      <c r="G55" s="5">
        <v>10</v>
      </c>
      <c r="H55" s="5">
        <v>10</v>
      </c>
      <c r="J55" s="8">
        <v>12000</v>
      </c>
      <c r="K55" s="8">
        <v>6000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>
        <v>6000</v>
      </c>
      <c r="Y55" s="8">
        <v>1080</v>
      </c>
      <c r="Z55" s="12">
        <f t="shared" si="0"/>
        <v>7080</v>
      </c>
      <c r="AA55" s="7" t="s">
        <v>59</v>
      </c>
    </row>
    <row r="56" spans="2:27" x14ac:dyDescent="0.25">
      <c r="B56" s="9" t="s">
        <v>62</v>
      </c>
      <c r="C56" s="17">
        <v>7.2916666666666671E-2</v>
      </c>
      <c r="D56" s="11">
        <v>44443</v>
      </c>
      <c r="E56" s="5" t="s">
        <v>31</v>
      </c>
      <c r="F56" s="5">
        <v>6455</v>
      </c>
      <c r="G56" s="5">
        <v>2</v>
      </c>
      <c r="H56" s="5">
        <v>2</v>
      </c>
      <c r="J56" s="8">
        <v>1000</v>
      </c>
      <c r="K56" s="8">
        <v>500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>
        <v>500</v>
      </c>
      <c r="Y56" s="8">
        <v>90</v>
      </c>
      <c r="Z56" s="12">
        <f t="shared" si="0"/>
        <v>590</v>
      </c>
      <c r="AA56" s="7" t="s">
        <v>59</v>
      </c>
    </row>
    <row r="57" spans="2:27" x14ac:dyDescent="0.25">
      <c r="B57" s="6">
        <v>12575881</v>
      </c>
      <c r="C57" s="17">
        <v>0.30763888888888891</v>
      </c>
      <c r="D57" s="11">
        <v>44443</v>
      </c>
      <c r="E57" s="5" t="s">
        <v>31</v>
      </c>
      <c r="F57" s="5">
        <v>6477</v>
      </c>
      <c r="G57" s="5">
        <v>2</v>
      </c>
      <c r="H57" s="5">
        <v>2</v>
      </c>
      <c r="J57" s="8">
        <v>3600</v>
      </c>
      <c r="K57" s="8">
        <v>1188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>
        <v>2412</v>
      </c>
      <c r="Y57" s="8">
        <f>217.08+217.08</f>
        <v>434.16</v>
      </c>
      <c r="Z57" s="12">
        <f t="shared" si="0"/>
        <v>2846.16</v>
      </c>
      <c r="AA57" s="7" t="s">
        <v>59</v>
      </c>
    </row>
    <row r="58" spans="2:27" x14ac:dyDescent="0.25">
      <c r="B58" s="6">
        <v>14375151</v>
      </c>
      <c r="C58" s="17">
        <v>0.12291666666666667</v>
      </c>
      <c r="D58" s="11">
        <v>44444</v>
      </c>
      <c r="E58" s="5" t="s">
        <v>31</v>
      </c>
      <c r="F58" s="5">
        <v>6520</v>
      </c>
      <c r="G58" s="5">
        <v>1</v>
      </c>
      <c r="H58" s="5">
        <v>1</v>
      </c>
      <c r="J58" s="8">
        <v>1499</v>
      </c>
      <c r="K58" s="8">
        <v>749.5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>
        <v>749.5</v>
      </c>
      <c r="Y58" s="8">
        <f>67.46+67.46</f>
        <v>134.91999999999999</v>
      </c>
      <c r="Z58" s="12">
        <f t="shared" si="0"/>
        <v>884.42</v>
      </c>
      <c r="AA58" s="7" t="s">
        <v>59</v>
      </c>
    </row>
    <row r="59" spans="2:27" x14ac:dyDescent="0.25">
      <c r="B59" s="6">
        <v>14375151</v>
      </c>
      <c r="C59" s="17">
        <v>4.3750000000000004E-2</v>
      </c>
      <c r="D59" s="11">
        <v>44445</v>
      </c>
      <c r="E59" s="5" t="s">
        <v>31</v>
      </c>
      <c r="F59" s="5">
        <v>6560</v>
      </c>
      <c r="G59" s="5">
        <v>2</v>
      </c>
      <c r="H59" s="5">
        <v>2</v>
      </c>
      <c r="J59" s="8">
        <v>1296.82</v>
      </c>
      <c r="K59" s="8">
        <v>362.67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>
        <v>736</v>
      </c>
      <c r="Y59" s="8">
        <f>66.27+66.27</f>
        <v>132.54</v>
      </c>
      <c r="Z59" s="12">
        <f t="shared" si="0"/>
        <v>868.54</v>
      </c>
      <c r="AA59" s="7" t="s">
        <v>59</v>
      </c>
    </row>
    <row r="60" spans="2:27" x14ac:dyDescent="0.25">
      <c r="B60" s="6" t="s">
        <v>40</v>
      </c>
      <c r="C60" s="17">
        <v>7.3611111111111113E-2</v>
      </c>
      <c r="D60" s="11">
        <v>44446</v>
      </c>
      <c r="E60" s="5" t="s">
        <v>31</v>
      </c>
      <c r="F60" s="5">
        <v>6593</v>
      </c>
      <c r="G60" s="5">
        <v>4</v>
      </c>
      <c r="H60" s="5">
        <v>4</v>
      </c>
      <c r="J60" s="8">
        <f>2487+2488</f>
        <v>4975</v>
      </c>
      <c r="K60" s="8">
        <v>2487.5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>
        <v>2662</v>
      </c>
      <c r="Y60" s="8">
        <f>239.63+239.63</f>
        <v>479.26</v>
      </c>
      <c r="Z60" s="12">
        <f t="shared" si="0"/>
        <v>3141.26</v>
      </c>
      <c r="AA60" s="7" t="s">
        <v>59</v>
      </c>
    </row>
    <row r="61" spans="2:27" x14ac:dyDescent="0.25">
      <c r="B61" s="6">
        <v>14307261</v>
      </c>
      <c r="C61" s="17">
        <v>5.8333333333333327E-2</v>
      </c>
      <c r="D61" s="11">
        <v>44448</v>
      </c>
      <c r="E61" s="5" t="s">
        <v>55</v>
      </c>
      <c r="F61" s="5">
        <v>3575</v>
      </c>
      <c r="G61" s="5">
        <v>1</v>
      </c>
      <c r="H61" s="5">
        <v>1</v>
      </c>
      <c r="J61" s="8">
        <v>500</v>
      </c>
      <c r="K61" s="8">
        <v>100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>
        <v>400</v>
      </c>
      <c r="Y61" s="8">
        <v>80</v>
      </c>
      <c r="Z61" s="12">
        <f t="shared" si="0"/>
        <v>480</v>
      </c>
      <c r="AA61" s="7" t="s">
        <v>59</v>
      </c>
    </row>
    <row r="62" spans="2:27" x14ac:dyDescent="0.25">
      <c r="B62" s="6">
        <v>14387261</v>
      </c>
      <c r="C62" s="17">
        <v>0.5395833333333333</v>
      </c>
      <c r="D62" s="11">
        <v>44448</v>
      </c>
      <c r="E62" s="5" t="s">
        <v>31</v>
      </c>
      <c r="F62" s="5">
        <v>6680</v>
      </c>
      <c r="G62" s="5">
        <v>2</v>
      </c>
      <c r="H62" s="5">
        <v>2</v>
      </c>
      <c r="J62" s="8">
        <v>2050</v>
      </c>
      <c r="K62" s="8">
        <v>1025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>
        <v>1025</v>
      </c>
      <c r="Y62" s="8">
        <f>92.25+92.25</f>
        <v>184.5</v>
      </c>
      <c r="Z62" s="12">
        <f t="shared" si="0"/>
        <v>1209.5</v>
      </c>
      <c r="AA62" s="7" t="s">
        <v>59</v>
      </c>
    </row>
    <row r="63" spans="2:27" x14ac:dyDescent="0.25">
      <c r="B63" s="6" t="s">
        <v>63</v>
      </c>
      <c r="C63" s="17">
        <v>0.40833333333333338</v>
      </c>
      <c r="D63" s="11">
        <v>44449</v>
      </c>
      <c r="E63" s="5" t="s">
        <v>31</v>
      </c>
      <c r="F63" s="5">
        <v>6730</v>
      </c>
      <c r="G63" s="5">
        <v>3</v>
      </c>
      <c r="H63" s="5">
        <v>3</v>
      </c>
      <c r="J63" s="8">
        <v>3600</v>
      </c>
      <c r="K63" s="8">
        <v>1800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>
        <v>1800</v>
      </c>
      <c r="Y63" s="8">
        <f>162+162</f>
        <v>324</v>
      </c>
      <c r="Z63" s="12">
        <f t="shared" si="0"/>
        <v>2124</v>
      </c>
      <c r="AA63" s="7" t="s">
        <v>59</v>
      </c>
    </row>
    <row r="64" spans="2:27" x14ac:dyDescent="0.25">
      <c r="B64" s="6">
        <v>12143451</v>
      </c>
      <c r="C64" s="17">
        <v>0.36249999999999999</v>
      </c>
      <c r="D64" s="11">
        <v>44449</v>
      </c>
      <c r="E64" s="5" t="s">
        <v>31</v>
      </c>
      <c r="F64" s="5">
        <v>6725</v>
      </c>
      <c r="G64" s="5">
        <v>2</v>
      </c>
      <c r="H64" s="5">
        <v>2</v>
      </c>
      <c r="J64" s="8">
        <v>2400</v>
      </c>
      <c r="K64" s="8">
        <v>1200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>
        <v>1200</v>
      </c>
      <c r="Y64" s="8">
        <v>216</v>
      </c>
      <c r="Z64" s="12">
        <f t="shared" si="0"/>
        <v>1416</v>
      </c>
      <c r="AA64" s="7" t="s">
        <v>54</v>
      </c>
    </row>
    <row r="65" spans="2:27" x14ac:dyDescent="0.25">
      <c r="B65" s="6" t="s">
        <v>64</v>
      </c>
      <c r="C65" s="17">
        <v>8.4027777777777771E-2</v>
      </c>
      <c r="D65" s="11">
        <v>44449</v>
      </c>
      <c r="E65" s="5" t="s">
        <v>31</v>
      </c>
      <c r="F65" s="5">
        <v>6717</v>
      </c>
      <c r="G65" s="5">
        <v>3</v>
      </c>
      <c r="H65" s="5">
        <v>3</v>
      </c>
      <c r="J65" s="8">
        <v>3000</v>
      </c>
      <c r="K65" s="8">
        <v>1500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>
        <v>1500</v>
      </c>
      <c r="Y65" s="8">
        <f>135+135</f>
        <v>270</v>
      </c>
      <c r="Z65" s="12">
        <f t="shared" si="0"/>
        <v>1770</v>
      </c>
      <c r="AA65" s="7" t="s">
        <v>54</v>
      </c>
    </row>
    <row r="66" spans="2:27" x14ac:dyDescent="0.25">
      <c r="B66" s="6">
        <v>14116841</v>
      </c>
      <c r="C66" s="17">
        <v>0.3979166666666667</v>
      </c>
      <c r="D66" s="11">
        <v>44450</v>
      </c>
      <c r="E66" s="5" t="s">
        <v>31</v>
      </c>
      <c r="F66" s="5">
        <v>6766</v>
      </c>
      <c r="G66" s="5">
        <v>2</v>
      </c>
      <c r="H66" s="5">
        <v>2</v>
      </c>
      <c r="J66" s="8">
        <v>1150</v>
      </c>
      <c r="K66" s="8">
        <v>575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>
        <v>575</v>
      </c>
      <c r="Y66" s="8">
        <f>51.75+51.75</f>
        <v>103.5</v>
      </c>
      <c r="Z66" s="12">
        <f t="shared" si="0"/>
        <v>678.5</v>
      </c>
      <c r="AA66" s="7" t="s">
        <v>54</v>
      </c>
    </row>
    <row r="67" spans="2:27" x14ac:dyDescent="0.25">
      <c r="B67" s="6">
        <v>12146451</v>
      </c>
      <c r="C67" s="17">
        <v>0.3611111111111111</v>
      </c>
      <c r="D67" s="11">
        <v>44450</v>
      </c>
      <c r="E67" s="5" t="s">
        <v>31</v>
      </c>
      <c r="F67" s="5">
        <v>6763</v>
      </c>
      <c r="G67" s="5">
        <v>1</v>
      </c>
      <c r="H67" s="5">
        <v>1</v>
      </c>
      <c r="J67" s="8">
        <v>1200</v>
      </c>
      <c r="K67" s="8">
        <v>600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>
        <v>600</v>
      </c>
      <c r="Y67" s="8">
        <v>108</v>
      </c>
      <c r="Z67" s="12">
        <f t="shared" si="0"/>
        <v>708</v>
      </c>
      <c r="AA67" s="7" t="s">
        <v>54</v>
      </c>
    </row>
    <row r="68" spans="2:27" x14ac:dyDescent="0.25">
      <c r="B68" s="6">
        <v>12415391</v>
      </c>
      <c r="C68" s="17">
        <v>0.10277777777777779</v>
      </c>
      <c r="D68" s="11">
        <v>44450</v>
      </c>
      <c r="E68" s="5" t="s">
        <v>31</v>
      </c>
      <c r="F68" s="5">
        <v>6749</v>
      </c>
      <c r="G68" s="5">
        <v>2</v>
      </c>
      <c r="H68" s="5">
        <v>2</v>
      </c>
      <c r="J68" s="8">
        <v>2598</v>
      </c>
      <c r="K68" s="8">
        <v>1299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>
        <v>1299</v>
      </c>
      <c r="Y68" s="8">
        <f>116.91+116.91</f>
        <v>233.82</v>
      </c>
      <c r="Z68" s="12">
        <f t="shared" si="0"/>
        <v>1532.82</v>
      </c>
      <c r="AA68" s="7" t="s">
        <v>54</v>
      </c>
    </row>
    <row r="69" spans="2:27" x14ac:dyDescent="0.25">
      <c r="B69" s="6">
        <v>12146451</v>
      </c>
      <c r="C69" s="17">
        <v>8.6111111111111124E-2</v>
      </c>
      <c r="D69" s="11">
        <v>44450</v>
      </c>
      <c r="E69" s="5" t="s">
        <v>31</v>
      </c>
      <c r="F69" s="5">
        <v>6746</v>
      </c>
      <c r="G69" s="5">
        <v>2</v>
      </c>
      <c r="H69" s="5">
        <v>2</v>
      </c>
      <c r="J69" s="8">
        <v>2598</v>
      </c>
      <c r="K69" s="8">
        <v>1299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>
        <v>1299</v>
      </c>
      <c r="Y69" s="8">
        <v>233.82</v>
      </c>
      <c r="Z69" s="12">
        <f t="shared" si="0"/>
        <v>1532.82</v>
      </c>
      <c r="AA69" s="7" t="s">
        <v>54</v>
      </c>
    </row>
    <row r="70" spans="2:27" x14ac:dyDescent="0.25">
      <c r="B70" s="6">
        <v>12146451</v>
      </c>
      <c r="C70" s="17">
        <v>0.38819444444444445</v>
      </c>
      <c r="D70" s="11">
        <v>44451</v>
      </c>
      <c r="E70" s="5" t="s">
        <v>31</v>
      </c>
      <c r="F70" s="5">
        <v>6812</v>
      </c>
      <c r="G70" s="5">
        <v>2</v>
      </c>
      <c r="H70" s="5">
        <v>2</v>
      </c>
      <c r="J70" s="8">
        <v>2400</v>
      </c>
      <c r="K70" s="8">
        <v>1200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>
        <v>1200</v>
      </c>
      <c r="Y70" s="8">
        <v>216</v>
      </c>
      <c r="Z70" s="12">
        <f t="shared" si="0"/>
        <v>1416</v>
      </c>
      <c r="AA70" s="7" t="s">
        <v>59</v>
      </c>
    </row>
    <row r="71" spans="2:27" x14ac:dyDescent="0.25">
      <c r="B71" s="6" t="s">
        <v>39</v>
      </c>
      <c r="C71" s="17">
        <v>0.35625000000000001</v>
      </c>
      <c r="D71" s="11">
        <v>44451</v>
      </c>
      <c r="E71" s="5" t="s">
        <v>31</v>
      </c>
      <c r="F71" s="5">
        <v>6810</v>
      </c>
      <c r="G71" s="5">
        <v>3</v>
      </c>
      <c r="H71" s="5">
        <v>3</v>
      </c>
      <c r="J71" s="8">
        <v>1200</v>
      </c>
      <c r="K71" s="8">
        <v>600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>
        <v>600</v>
      </c>
      <c r="Y71" s="8">
        <v>108</v>
      </c>
      <c r="Z71" s="12">
        <f t="shared" si="0"/>
        <v>708</v>
      </c>
      <c r="AA71" s="7" t="s">
        <v>59</v>
      </c>
    </row>
    <row r="72" spans="2:27" x14ac:dyDescent="0.25">
      <c r="B72" s="6">
        <v>12355341</v>
      </c>
      <c r="C72" s="17">
        <v>0.35486111111111113</v>
      </c>
      <c r="D72" s="11">
        <v>44451</v>
      </c>
      <c r="E72" s="5" t="s">
        <v>31</v>
      </c>
      <c r="F72" s="5">
        <v>6809</v>
      </c>
      <c r="G72" s="5">
        <v>3</v>
      </c>
      <c r="H72" s="5">
        <v>3</v>
      </c>
      <c r="J72" s="8">
        <f>150+1000+1300+575</f>
        <v>3025</v>
      </c>
      <c r="K72" s="8">
        <v>998.25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>
        <v>2026.75</v>
      </c>
      <c r="Y72" s="8">
        <f>182.41+182.41</f>
        <v>364.82</v>
      </c>
      <c r="Z72" s="12">
        <f t="shared" si="0"/>
        <v>2391.5700000000002</v>
      </c>
      <c r="AA72" s="7" t="s">
        <v>59</v>
      </c>
    </row>
    <row r="73" spans="2:27" x14ac:dyDescent="0.25">
      <c r="B73" s="6" t="s">
        <v>39</v>
      </c>
      <c r="C73" s="17">
        <v>0.22638888888888889</v>
      </c>
      <c r="D73" s="11">
        <v>44451</v>
      </c>
      <c r="E73" s="5" t="s">
        <v>31</v>
      </c>
      <c r="F73" s="5">
        <v>6804</v>
      </c>
      <c r="G73" s="5">
        <v>2</v>
      </c>
      <c r="H73" s="5">
        <v>2</v>
      </c>
      <c r="J73" s="8">
        <f>425+425+225+400+500</f>
        <v>1975</v>
      </c>
      <c r="K73" s="8">
        <v>987.5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>
        <v>987.5</v>
      </c>
      <c r="Y73" s="8">
        <f>88.88+88.88</f>
        <v>177.76</v>
      </c>
      <c r="Z73" s="12">
        <f t="shared" si="0"/>
        <v>1165.26</v>
      </c>
      <c r="AA73" s="7" t="s">
        <v>59</v>
      </c>
    </row>
    <row r="74" spans="2:27" x14ac:dyDescent="0.25">
      <c r="B74" s="6">
        <v>12141451</v>
      </c>
      <c r="C74" s="17">
        <v>0.37777777777777777</v>
      </c>
      <c r="D74" s="11">
        <v>44452</v>
      </c>
      <c r="E74" s="5" t="s">
        <v>31</v>
      </c>
      <c r="F74" s="5">
        <v>6831</v>
      </c>
      <c r="G74" s="5">
        <v>2</v>
      </c>
      <c r="H74" s="5">
        <v>2</v>
      </c>
      <c r="J74" s="8">
        <v>1200</v>
      </c>
      <c r="K74" s="8">
        <v>600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>
        <v>600</v>
      </c>
      <c r="Y74" s="8">
        <v>108</v>
      </c>
      <c r="Z74" s="12">
        <f t="shared" si="0"/>
        <v>708</v>
      </c>
      <c r="AA74" s="7" t="s">
        <v>59</v>
      </c>
    </row>
    <row r="75" spans="2:27" x14ac:dyDescent="0.25">
      <c r="B75" s="6">
        <v>12141451</v>
      </c>
      <c r="C75" s="17">
        <v>9.0972222222222218E-2</v>
      </c>
      <c r="D75" s="11">
        <v>44452</v>
      </c>
      <c r="E75" s="5" t="s">
        <v>31</v>
      </c>
      <c r="F75" s="5">
        <v>6819</v>
      </c>
      <c r="G75" s="5">
        <v>3</v>
      </c>
      <c r="H75" s="5">
        <v>3</v>
      </c>
      <c r="J75" s="8">
        <v>1347</v>
      </c>
      <c r="K75" s="8">
        <v>444.51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>
        <v>902.49</v>
      </c>
      <c r="Y75" s="8">
        <f>81.22+81.22</f>
        <v>162.44</v>
      </c>
      <c r="Z75" s="12">
        <f t="shared" si="0"/>
        <v>1064.93</v>
      </c>
      <c r="AA75" s="7" t="s">
        <v>59</v>
      </c>
    </row>
    <row r="76" spans="2:27" x14ac:dyDescent="0.25">
      <c r="B76" s="6">
        <v>12146451</v>
      </c>
      <c r="C76" s="17">
        <v>0.35972222222222222</v>
      </c>
      <c r="D76" s="11">
        <v>44453</v>
      </c>
      <c r="E76" s="5" t="s">
        <v>31</v>
      </c>
      <c r="F76" s="5">
        <v>6865</v>
      </c>
      <c r="G76" s="5">
        <v>2</v>
      </c>
      <c r="H76" s="5">
        <v>2</v>
      </c>
      <c r="J76" s="8">
        <v>2400</v>
      </c>
      <c r="K76" s="8">
        <v>1200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>
        <v>1200</v>
      </c>
      <c r="Y76" s="8">
        <v>216</v>
      </c>
      <c r="Z76" s="12">
        <f t="shared" ref="Z76:Z139" si="1">X76+Y76</f>
        <v>1416</v>
      </c>
      <c r="AA76" s="7" t="s">
        <v>54</v>
      </c>
    </row>
    <row r="77" spans="2:27" x14ac:dyDescent="0.25">
      <c r="B77" s="6">
        <v>12146451</v>
      </c>
      <c r="C77" s="17">
        <v>7.3611111111111113E-2</v>
      </c>
      <c r="D77" s="11">
        <v>44453</v>
      </c>
      <c r="E77" s="5" t="s">
        <v>31</v>
      </c>
      <c r="F77" s="5">
        <v>6850</v>
      </c>
      <c r="G77" s="5">
        <v>1</v>
      </c>
      <c r="H77" s="5">
        <v>1</v>
      </c>
      <c r="J77" s="8">
        <v>1249</v>
      </c>
      <c r="K77" s="8">
        <v>624.5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>
        <v>624.5</v>
      </c>
      <c r="Y77" s="8">
        <f>56.21+56.21</f>
        <v>112.42</v>
      </c>
      <c r="Z77" s="12">
        <f t="shared" si="1"/>
        <v>736.92</v>
      </c>
      <c r="AA77" s="7" t="s">
        <v>54</v>
      </c>
    </row>
    <row r="78" spans="2:27" x14ac:dyDescent="0.25">
      <c r="B78" s="6">
        <v>14719981</v>
      </c>
      <c r="C78" s="17">
        <v>4.9999999999999996E-2</v>
      </c>
      <c r="D78" s="11">
        <v>44453</v>
      </c>
      <c r="E78" s="5" t="s">
        <v>31</v>
      </c>
      <c r="F78" s="5">
        <v>6846</v>
      </c>
      <c r="G78" s="5">
        <v>3</v>
      </c>
      <c r="H78" s="5">
        <v>3</v>
      </c>
      <c r="J78" s="8">
        <v>1347</v>
      </c>
      <c r="K78" s="8">
        <v>673.5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>
        <v>673.5</v>
      </c>
      <c r="Y78" s="8">
        <f>60.62+60.62</f>
        <v>121.24</v>
      </c>
      <c r="Z78" s="12">
        <f t="shared" si="1"/>
        <v>794.74</v>
      </c>
      <c r="AA78" s="7" t="s">
        <v>65</v>
      </c>
    </row>
    <row r="79" spans="2:27" x14ac:dyDescent="0.25">
      <c r="B79" s="6">
        <v>12620641</v>
      </c>
      <c r="C79" s="17">
        <v>0.35138888888888892</v>
      </c>
      <c r="D79" s="11">
        <v>44455</v>
      </c>
      <c r="E79" s="5" t="s">
        <v>31</v>
      </c>
      <c r="F79" s="5">
        <v>6946</v>
      </c>
      <c r="G79" s="5">
        <v>7</v>
      </c>
      <c r="H79" s="5">
        <v>7</v>
      </c>
      <c r="J79" s="8">
        <f>K79*5</f>
        <v>9375</v>
      </c>
      <c r="K79" s="8">
        <v>1875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>
        <v>8550</v>
      </c>
      <c r="Y79" s="8">
        <f>769.5+769.5</f>
        <v>1539</v>
      </c>
      <c r="Z79" s="12">
        <f t="shared" si="1"/>
        <v>10089</v>
      </c>
      <c r="AA79" s="7" t="s">
        <v>54</v>
      </c>
    </row>
    <row r="80" spans="2:27" x14ac:dyDescent="0.25">
      <c r="B80" s="6" t="s">
        <v>39</v>
      </c>
      <c r="C80" s="17">
        <v>5.9722222222222225E-2</v>
      </c>
      <c r="D80" s="11">
        <v>44458</v>
      </c>
      <c r="E80" s="5" t="s">
        <v>31</v>
      </c>
      <c r="F80" s="5">
        <v>6060</v>
      </c>
      <c r="G80" s="5">
        <v>2</v>
      </c>
      <c r="H80" s="5">
        <v>2</v>
      </c>
      <c r="J80" s="8">
        <v>1499</v>
      </c>
      <c r="K80" s="8">
        <v>749.5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>
        <v>749.5</v>
      </c>
      <c r="Y80" s="8">
        <f>67.46+67.46</f>
        <v>134.91999999999999</v>
      </c>
      <c r="Z80" s="12">
        <f t="shared" si="1"/>
        <v>884.42</v>
      </c>
      <c r="AA80" s="7" t="s">
        <v>54</v>
      </c>
    </row>
    <row r="81" spans="2:27" x14ac:dyDescent="0.25">
      <c r="B81" s="6">
        <v>14691721</v>
      </c>
      <c r="C81" s="17">
        <v>0.43124999999999997</v>
      </c>
      <c r="D81" s="11">
        <v>44458</v>
      </c>
      <c r="E81" s="5" t="s">
        <v>31</v>
      </c>
      <c r="F81" s="5">
        <v>6051</v>
      </c>
      <c r="G81" s="5">
        <v>4</v>
      </c>
      <c r="H81" s="5">
        <v>4</v>
      </c>
      <c r="J81" s="8">
        <f>+K81*4</f>
        <v>2446.52</v>
      </c>
      <c r="K81" s="8">
        <v>611.63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>
        <v>1834.87</v>
      </c>
      <c r="Y81" s="8">
        <f>165.14+165.14</f>
        <v>330.28</v>
      </c>
      <c r="Z81" s="12">
        <f t="shared" si="1"/>
        <v>2165.1499999999996</v>
      </c>
      <c r="AA81" s="7" t="s">
        <v>54</v>
      </c>
    </row>
    <row r="82" spans="2:27" x14ac:dyDescent="0.25">
      <c r="B82" s="6">
        <v>14323221</v>
      </c>
      <c r="C82" s="17">
        <v>0.1076388888888889</v>
      </c>
      <c r="D82" s="11">
        <v>44464</v>
      </c>
      <c r="E82" s="5" t="s">
        <v>31</v>
      </c>
      <c r="F82" s="5">
        <v>6268</v>
      </c>
      <c r="G82" s="5">
        <v>2</v>
      </c>
      <c r="H82" s="5">
        <v>2</v>
      </c>
      <c r="J82" s="8">
        <v>425</v>
      </c>
      <c r="K82" s="8">
        <v>212.5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>
        <v>212.5</v>
      </c>
      <c r="Y82" s="8">
        <f>19.13+19.13</f>
        <v>38.26</v>
      </c>
      <c r="Z82" s="12">
        <f t="shared" si="1"/>
        <v>250.76</v>
      </c>
      <c r="AA82" s="7" t="s">
        <v>54</v>
      </c>
    </row>
    <row r="83" spans="2:27" x14ac:dyDescent="0.25">
      <c r="B83" s="6">
        <v>14323221</v>
      </c>
      <c r="C83" s="17">
        <v>0.32500000000000001</v>
      </c>
      <c r="D83" s="11">
        <v>44464</v>
      </c>
      <c r="E83" s="5" t="s">
        <v>31</v>
      </c>
      <c r="F83" s="5">
        <v>6280</v>
      </c>
      <c r="G83" s="5">
        <v>1</v>
      </c>
      <c r="H83" s="5">
        <v>1</v>
      </c>
      <c r="J83" s="8">
        <v>550</v>
      </c>
      <c r="K83" s="8">
        <v>275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>
        <v>275</v>
      </c>
      <c r="Y83" s="8">
        <f>24.75+24.75</f>
        <v>49.5</v>
      </c>
      <c r="Z83" s="12">
        <f t="shared" si="1"/>
        <v>324.5</v>
      </c>
      <c r="AA83" s="7" t="s">
        <v>54</v>
      </c>
    </row>
    <row r="84" spans="2:27" x14ac:dyDescent="0.25">
      <c r="B84" s="6" t="s">
        <v>66</v>
      </c>
      <c r="C84" s="17">
        <v>0.34722222222222227</v>
      </c>
      <c r="D84" s="11">
        <v>44464</v>
      </c>
      <c r="E84" s="5" t="s">
        <v>31</v>
      </c>
      <c r="F84" s="5">
        <v>6284</v>
      </c>
      <c r="G84" s="5">
        <v>4</v>
      </c>
      <c r="H84" s="5">
        <v>4</v>
      </c>
      <c r="J84" s="8">
        <f>+K84*2</f>
        <v>2325</v>
      </c>
      <c r="K84" s="8">
        <v>1162.5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>
        <v>1162.5</v>
      </c>
      <c r="Y84" s="8">
        <f>104.63+104.63</f>
        <v>209.26</v>
      </c>
      <c r="Z84" s="12">
        <f t="shared" si="1"/>
        <v>1371.76</v>
      </c>
      <c r="AA84" s="7" t="s">
        <v>54</v>
      </c>
    </row>
    <row r="85" spans="2:27" x14ac:dyDescent="0.25">
      <c r="B85" s="6">
        <v>12620641</v>
      </c>
      <c r="C85" s="17">
        <v>0.13333333333333333</v>
      </c>
      <c r="D85" s="11">
        <v>44465</v>
      </c>
      <c r="E85" s="5" t="s">
        <v>31</v>
      </c>
      <c r="F85" s="5">
        <v>6319</v>
      </c>
      <c r="G85" s="5">
        <v>1</v>
      </c>
      <c r="H85" s="5">
        <v>1</v>
      </c>
      <c r="J85" s="8">
        <v>1499</v>
      </c>
      <c r="K85" s="8">
        <v>299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>
        <v>1199.2</v>
      </c>
      <c r="Y85" s="8">
        <f>107.93+107.93</f>
        <v>215.86</v>
      </c>
      <c r="Z85" s="12">
        <f t="shared" si="1"/>
        <v>1415.06</v>
      </c>
      <c r="AA85" s="7" t="s">
        <v>54</v>
      </c>
    </row>
    <row r="86" spans="2:27" x14ac:dyDescent="0.25">
      <c r="B86" s="6">
        <v>14691721</v>
      </c>
      <c r="C86" s="17">
        <v>7.0833333333333331E-2</v>
      </c>
      <c r="D86" s="11">
        <v>44465</v>
      </c>
      <c r="E86" s="5" t="s">
        <v>31</v>
      </c>
      <c r="F86" s="5">
        <v>6316</v>
      </c>
      <c r="G86" s="5">
        <v>1</v>
      </c>
      <c r="H86" s="5">
        <v>1</v>
      </c>
      <c r="J86" s="8">
        <v>749</v>
      </c>
      <c r="K86" s="8">
        <v>149.9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>
        <v>599.6</v>
      </c>
      <c r="Y86" s="8">
        <f>53.96+53.96</f>
        <v>107.92</v>
      </c>
      <c r="Z86" s="12">
        <f t="shared" si="1"/>
        <v>707.52</v>
      </c>
      <c r="AA86" s="7" t="s">
        <v>54</v>
      </c>
    </row>
    <row r="87" spans="2:27" x14ac:dyDescent="0.25">
      <c r="B87" s="6">
        <v>12417911</v>
      </c>
      <c r="C87" s="17">
        <v>9.4444444444444442E-2</v>
      </c>
      <c r="D87" s="11">
        <v>44465</v>
      </c>
      <c r="E87" s="5" t="s">
        <v>31</v>
      </c>
      <c r="F87" s="5">
        <v>6304</v>
      </c>
      <c r="G87" s="5">
        <v>4</v>
      </c>
      <c r="H87" s="5">
        <v>4</v>
      </c>
      <c r="J87" s="8">
        <v>5996</v>
      </c>
      <c r="K87" s="8">
        <v>1199.2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>
        <v>4796</v>
      </c>
      <c r="Y87" s="8">
        <f>431.71+431.71</f>
        <v>863.42</v>
      </c>
      <c r="Z87" s="12">
        <f t="shared" si="1"/>
        <v>5659.42</v>
      </c>
      <c r="AA87" s="7" t="s">
        <v>54</v>
      </c>
    </row>
    <row r="88" spans="2:27" x14ac:dyDescent="0.25">
      <c r="B88" s="6" t="s">
        <v>39</v>
      </c>
      <c r="C88" s="17">
        <v>0.40277777777777773</v>
      </c>
      <c r="D88" s="11">
        <v>44466</v>
      </c>
      <c r="E88" s="5" t="s">
        <v>31</v>
      </c>
      <c r="F88" s="5">
        <v>6372</v>
      </c>
      <c r="G88" s="5">
        <v>5</v>
      </c>
      <c r="H88" s="5">
        <v>5</v>
      </c>
      <c r="J88" s="8">
        <v>6000</v>
      </c>
      <c r="K88" s="8">
        <v>3000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>
        <v>3000</v>
      </c>
      <c r="Y88" s="8">
        <v>540</v>
      </c>
      <c r="Z88" s="12">
        <f t="shared" si="1"/>
        <v>3540</v>
      </c>
      <c r="AA88" s="7" t="s">
        <v>54</v>
      </c>
    </row>
    <row r="89" spans="2:27" x14ac:dyDescent="0.25">
      <c r="B89" s="6" t="s">
        <v>67</v>
      </c>
      <c r="C89" s="17">
        <v>8.1250000000000003E-2</v>
      </c>
      <c r="D89" s="11">
        <v>44466</v>
      </c>
      <c r="E89" s="5" t="s">
        <v>31</v>
      </c>
      <c r="F89" s="5">
        <v>6355</v>
      </c>
      <c r="G89" s="5">
        <v>2</v>
      </c>
      <c r="H89" s="5">
        <v>2</v>
      </c>
      <c r="J89" s="8">
        <v>825</v>
      </c>
      <c r="K89" s="8">
        <v>412.5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>
        <v>412.5</v>
      </c>
      <c r="Y89" s="8">
        <f>37.13+37.13</f>
        <v>74.260000000000005</v>
      </c>
      <c r="Z89" s="12">
        <f t="shared" si="1"/>
        <v>486.76</v>
      </c>
      <c r="AA89" s="7" t="s">
        <v>54</v>
      </c>
    </row>
    <row r="90" spans="2:27" x14ac:dyDescent="0.25">
      <c r="B90" s="6" t="s">
        <v>68</v>
      </c>
      <c r="C90" s="17">
        <v>0.3611111111111111</v>
      </c>
      <c r="D90" s="11">
        <v>44467</v>
      </c>
      <c r="E90" s="5" t="s">
        <v>31</v>
      </c>
      <c r="F90" s="5">
        <v>6404</v>
      </c>
      <c r="G90" s="5">
        <v>5</v>
      </c>
      <c r="H90" s="5">
        <v>5</v>
      </c>
      <c r="J90" s="8">
        <v>6000</v>
      </c>
      <c r="K90" s="8">
        <v>3000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>
        <v>3000</v>
      </c>
      <c r="Y90" s="8">
        <v>540</v>
      </c>
      <c r="Z90" s="12">
        <f t="shared" si="1"/>
        <v>3540</v>
      </c>
      <c r="AA90" s="7" t="s">
        <v>69</v>
      </c>
    </row>
    <row r="91" spans="2:27" x14ac:dyDescent="0.25">
      <c r="B91" s="6">
        <v>12685951</v>
      </c>
      <c r="C91" s="17">
        <v>0.37916666666666665</v>
      </c>
      <c r="D91" s="11">
        <v>44468</v>
      </c>
      <c r="E91" s="5" t="s">
        <v>30</v>
      </c>
      <c r="F91" s="5">
        <v>1816</v>
      </c>
      <c r="G91" s="5">
        <v>1</v>
      </c>
      <c r="H91" s="5">
        <v>1</v>
      </c>
      <c r="J91" s="8">
        <f>+K91*5</f>
        <v>3450</v>
      </c>
      <c r="K91" s="8">
        <v>690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>
        <v>2760</v>
      </c>
      <c r="Y91" s="8">
        <f>248.4+248.4</f>
        <v>496.8</v>
      </c>
      <c r="Z91" s="12">
        <f t="shared" si="1"/>
        <v>3256.8</v>
      </c>
      <c r="AA91" s="7" t="s">
        <v>47</v>
      </c>
    </row>
    <row r="92" spans="2:27" x14ac:dyDescent="0.25">
      <c r="B92" s="6" t="s">
        <v>39</v>
      </c>
      <c r="C92" s="17">
        <v>0.40902777777777777</v>
      </c>
      <c r="D92" s="11">
        <v>44468</v>
      </c>
      <c r="E92" s="5" t="s">
        <v>31</v>
      </c>
      <c r="F92" s="5">
        <v>6445</v>
      </c>
      <c r="G92" s="5">
        <v>4</v>
      </c>
      <c r="H92" s="5">
        <v>4</v>
      </c>
      <c r="J92" s="8">
        <v>4800</v>
      </c>
      <c r="K92" s="8">
        <v>2400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>
        <v>2400</v>
      </c>
      <c r="Y92" s="8">
        <v>432</v>
      </c>
      <c r="Z92" s="12">
        <f t="shared" si="1"/>
        <v>2832</v>
      </c>
      <c r="AA92" s="7" t="s">
        <v>69</v>
      </c>
    </row>
    <row r="93" spans="2:27" x14ac:dyDescent="0.25">
      <c r="B93" s="6">
        <v>14323221</v>
      </c>
      <c r="C93" s="17">
        <v>6.6666666666666666E-2</v>
      </c>
      <c r="D93" s="11">
        <v>44468</v>
      </c>
      <c r="E93" s="5" t="s">
        <v>31</v>
      </c>
      <c r="F93" s="5">
        <v>6422</v>
      </c>
      <c r="G93" s="5">
        <v>1</v>
      </c>
      <c r="H93" s="5">
        <v>1</v>
      </c>
      <c r="J93" s="8">
        <v>700</v>
      </c>
      <c r="K93" s="8">
        <v>350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>
        <v>350</v>
      </c>
      <c r="Y93" s="8">
        <f>31.5+31.5</f>
        <v>63</v>
      </c>
      <c r="Z93" s="12">
        <f t="shared" si="1"/>
        <v>413</v>
      </c>
      <c r="AA93" s="7" t="s">
        <v>70</v>
      </c>
    </row>
    <row r="94" spans="2:27" x14ac:dyDescent="0.25">
      <c r="B94" s="6" t="s">
        <v>27</v>
      </c>
      <c r="C94" s="17">
        <v>4.5138888888888888E-2</v>
      </c>
      <c r="D94" s="11">
        <v>44468</v>
      </c>
      <c r="E94" s="5" t="s">
        <v>31</v>
      </c>
      <c r="F94" s="5">
        <v>6455</v>
      </c>
      <c r="G94" s="5">
        <v>2</v>
      </c>
      <c r="H94" s="5">
        <v>2</v>
      </c>
      <c r="J94" s="8">
        <f>+K94*2</f>
        <v>1525</v>
      </c>
      <c r="K94" s="8">
        <v>762.5</v>
      </c>
      <c r="L94" s="8">
        <v>350</v>
      </c>
      <c r="M94" s="8">
        <v>175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>
        <v>937.5</v>
      </c>
      <c r="Y94" s="8">
        <f>84.38+84.38</f>
        <v>168.76</v>
      </c>
      <c r="Z94" s="12">
        <f t="shared" si="1"/>
        <v>1106.26</v>
      </c>
      <c r="AA94" s="7" t="s">
        <v>54</v>
      </c>
    </row>
    <row r="95" spans="2:27" x14ac:dyDescent="0.25">
      <c r="B95" s="6">
        <v>12353341</v>
      </c>
      <c r="C95" s="17">
        <v>0.35555555555555557</v>
      </c>
      <c r="D95" s="11">
        <v>44470</v>
      </c>
      <c r="E95" s="5" t="s">
        <v>31</v>
      </c>
      <c r="F95" s="5">
        <v>6520</v>
      </c>
      <c r="G95" s="5">
        <v>2</v>
      </c>
      <c r="H95" s="5">
        <v>2</v>
      </c>
      <c r="J95" s="8">
        <v>2550</v>
      </c>
      <c r="K95" s="8">
        <v>1275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>
        <v>1975</v>
      </c>
      <c r="Y95" s="8">
        <f>177.75+177.75</f>
        <v>355.5</v>
      </c>
      <c r="Z95" s="12">
        <f t="shared" si="1"/>
        <v>2330.5</v>
      </c>
      <c r="AA95" s="7" t="s">
        <v>54</v>
      </c>
    </row>
    <row r="96" spans="2:27" x14ac:dyDescent="0.25">
      <c r="B96" s="6" t="s">
        <v>71</v>
      </c>
      <c r="C96" s="17">
        <v>0.34097222222222223</v>
      </c>
      <c r="D96" s="11">
        <v>44471</v>
      </c>
      <c r="E96" s="5" t="s">
        <v>31</v>
      </c>
      <c r="F96" s="5">
        <v>6579</v>
      </c>
      <c r="G96" s="5">
        <v>9</v>
      </c>
      <c r="H96" s="5">
        <v>9</v>
      </c>
      <c r="J96" s="8">
        <v>4600</v>
      </c>
      <c r="K96" s="8">
        <v>2300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>
        <v>2300</v>
      </c>
      <c r="Y96" s="8">
        <f>207+207</f>
        <v>414</v>
      </c>
      <c r="Z96" s="12">
        <f t="shared" si="1"/>
        <v>2714</v>
      </c>
      <c r="AA96" s="7" t="s">
        <v>54</v>
      </c>
    </row>
    <row r="97" spans="2:27" x14ac:dyDescent="0.25">
      <c r="B97" s="6" t="s">
        <v>72</v>
      </c>
      <c r="C97" s="17">
        <v>8.11</v>
      </c>
      <c r="D97" s="11">
        <v>44471</v>
      </c>
      <c r="E97" s="5" t="s">
        <v>31</v>
      </c>
      <c r="F97" s="5">
        <v>6565</v>
      </c>
      <c r="G97" s="5">
        <v>9</v>
      </c>
      <c r="H97" s="5">
        <v>9</v>
      </c>
      <c r="J97" s="8">
        <f>K97*2</f>
        <v>5300</v>
      </c>
      <c r="K97" s="8">
        <v>2650</v>
      </c>
      <c r="L97" s="8">
        <f>M97*5</f>
        <v>525</v>
      </c>
      <c r="M97" s="8">
        <v>105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>
        <v>3070</v>
      </c>
      <c r="Y97" s="8">
        <f>276.3+276.3</f>
        <v>552.6</v>
      </c>
      <c r="Z97" s="12">
        <f t="shared" si="1"/>
        <v>3622.6</v>
      </c>
      <c r="AA97" s="7" t="s">
        <v>54</v>
      </c>
    </row>
    <row r="98" spans="2:27" x14ac:dyDescent="0.25">
      <c r="B98" s="6" t="s">
        <v>27</v>
      </c>
      <c r="C98" s="17">
        <v>0.30277777777777776</v>
      </c>
      <c r="D98" s="11">
        <v>44471</v>
      </c>
      <c r="E98" s="5" t="s">
        <v>31</v>
      </c>
      <c r="F98" s="5">
        <v>6562</v>
      </c>
      <c r="G98" s="5">
        <v>2</v>
      </c>
      <c r="H98" s="5">
        <v>2</v>
      </c>
      <c r="J98" s="8">
        <v>1600</v>
      </c>
      <c r="K98" s="8">
        <v>800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>
        <v>800</v>
      </c>
      <c r="Y98" s="8">
        <v>144</v>
      </c>
      <c r="Z98" s="12">
        <f t="shared" si="1"/>
        <v>944</v>
      </c>
      <c r="AA98" s="7" t="s">
        <v>54</v>
      </c>
    </row>
    <row r="99" spans="2:27" x14ac:dyDescent="0.25">
      <c r="B99" s="6" t="s">
        <v>73</v>
      </c>
      <c r="C99" s="17">
        <v>0.36874999999999997</v>
      </c>
      <c r="D99" s="11">
        <v>44472</v>
      </c>
      <c r="E99" s="5" t="s">
        <v>31</v>
      </c>
      <c r="F99" s="5">
        <v>6615</v>
      </c>
      <c r="G99" s="5">
        <v>4</v>
      </c>
      <c r="H99" s="5">
        <v>4</v>
      </c>
      <c r="J99" s="8">
        <f>K99*2</f>
        <v>2975</v>
      </c>
      <c r="K99" s="8">
        <v>1487.5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>
        <v>1837</v>
      </c>
      <c r="Y99" s="8">
        <f>165.39+165.39</f>
        <v>330.78</v>
      </c>
      <c r="Z99" s="12">
        <f t="shared" si="1"/>
        <v>2167.7799999999997</v>
      </c>
      <c r="AA99" s="7" t="s">
        <v>54</v>
      </c>
    </row>
    <row r="100" spans="2:27" x14ac:dyDescent="0.25">
      <c r="B100" s="6" t="s">
        <v>39</v>
      </c>
      <c r="C100" s="17">
        <v>0.3659722222222222</v>
      </c>
      <c r="D100" s="11">
        <v>44472</v>
      </c>
      <c r="E100" s="5" t="s">
        <v>31</v>
      </c>
      <c r="F100" s="5">
        <v>6613</v>
      </c>
      <c r="G100" s="5">
        <v>5</v>
      </c>
      <c r="H100" s="5">
        <v>5</v>
      </c>
      <c r="J100" s="8">
        <v>4800</v>
      </c>
      <c r="K100" s="8">
        <v>2400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>
        <v>2400</v>
      </c>
      <c r="Y100" s="8">
        <v>432</v>
      </c>
      <c r="Z100" s="12">
        <f t="shared" si="1"/>
        <v>2832</v>
      </c>
      <c r="AA100" s="7" t="s">
        <v>54</v>
      </c>
    </row>
    <row r="101" spans="2:27" x14ac:dyDescent="0.25">
      <c r="B101" s="6" t="s">
        <v>27</v>
      </c>
      <c r="C101" s="17">
        <v>0.30208333333333331</v>
      </c>
      <c r="D101" s="11">
        <v>44472</v>
      </c>
      <c r="E101" s="5" t="s">
        <v>31</v>
      </c>
      <c r="F101" s="5">
        <v>6610</v>
      </c>
      <c r="G101" s="5">
        <v>5</v>
      </c>
      <c r="H101" s="5">
        <v>5</v>
      </c>
      <c r="J101" s="8">
        <v>6000</v>
      </c>
      <c r="K101" s="8">
        <v>125057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>
        <v>3000</v>
      </c>
      <c r="Y101" s="8">
        <v>40</v>
      </c>
      <c r="Z101" s="12">
        <f t="shared" si="1"/>
        <v>3040</v>
      </c>
      <c r="AA101" s="7" t="s">
        <v>54</v>
      </c>
    </row>
    <row r="102" spans="2:27" x14ac:dyDescent="0.25">
      <c r="B102" s="6">
        <v>12146451</v>
      </c>
      <c r="C102" s="17">
        <v>0.10277777777777779</v>
      </c>
      <c r="D102" s="11">
        <v>44472</v>
      </c>
      <c r="E102" s="5" t="s">
        <v>31</v>
      </c>
      <c r="F102" s="5">
        <v>6601</v>
      </c>
      <c r="G102" s="5">
        <v>3</v>
      </c>
      <c r="H102" s="5">
        <v>3</v>
      </c>
      <c r="J102" s="8">
        <f>2998+749.5</f>
        <v>3747.5</v>
      </c>
      <c r="K102" s="8">
        <v>1236.68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>
        <v>2510.8200000000002</v>
      </c>
      <c r="Y102" s="8">
        <f>225.97+225.97</f>
        <v>451.94</v>
      </c>
      <c r="Z102" s="12">
        <f t="shared" si="1"/>
        <v>2962.76</v>
      </c>
      <c r="AA102" s="7" t="s">
        <v>54</v>
      </c>
    </row>
    <row r="103" spans="2:27" x14ac:dyDescent="0.25">
      <c r="B103" s="6">
        <v>12575881</v>
      </c>
      <c r="C103" s="17">
        <v>0.5395833333333333</v>
      </c>
      <c r="D103" s="11">
        <v>44472</v>
      </c>
      <c r="E103" s="5" t="s">
        <v>31</v>
      </c>
      <c r="F103" s="5">
        <v>6592</v>
      </c>
      <c r="G103" s="5">
        <v>2</v>
      </c>
      <c r="H103" s="5">
        <v>2</v>
      </c>
      <c r="J103" s="8">
        <v>2998</v>
      </c>
      <c r="K103" s="8">
        <v>1499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>
        <v>1499</v>
      </c>
      <c r="Y103" s="8">
        <f>134.91+134.91</f>
        <v>269.82</v>
      </c>
      <c r="Z103" s="12">
        <f t="shared" si="1"/>
        <v>1768.82</v>
      </c>
      <c r="AA103" s="7" t="s">
        <v>54</v>
      </c>
    </row>
    <row r="104" spans="2:27" x14ac:dyDescent="0.25">
      <c r="B104" s="6">
        <v>12160831</v>
      </c>
      <c r="C104" s="17">
        <v>0.38958333333333334</v>
      </c>
      <c r="D104" s="11">
        <v>44472</v>
      </c>
      <c r="E104" s="5" t="s">
        <v>55</v>
      </c>
      <c r="F104" s="5">
        <v>3830</v>
      </c>
      <c r="G104" s="5">
        <v>3</v>
      </c>
      <c r="H104" s="5">
        <v>3</v>
      </c>
      <c r="J104" s="8">
        <v>8820</v>
      </c>
      <c r="K104" s="8">
        <v>2040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>
        <v>6780</v>
      </c>
      <c r="Y104" s="8">
        <v>1356</v>
      </c>
      <c r="Z104" s="12">
        <f t="shared" si="1"/>
        <v>8136</v>
      </c>
      <c r="AA104" s="7" t="s">
        <v>54</v>
      </c>
    </row>
    <row r="105" spans="2:27" x14ac:dyDescent="0.25">
      <c r="B105" s="9" t="s">
        <v>74</v>
      </c>
      <c r="C105" s="17">
        <v>0.35694444444444445</v>
      </c>
      <c r="D105" s="11">
        <v>44474</v>
      </c>
      <c r="E105" s="5" t="s">
        <v>55</v>
      </c>
      <c r="F105" s="5">
        <v>3846</v>
      </c>
      <c r="G105" s="5">
        <v>1</v>
      </c>
      <c r="H105" s="5">
        <v>1</v>
      </c>
      <c r="J105" s="8">
        <v>5000</v>
      </c>
      <c r="K105" s="8">
        <v>2500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>
        <v>2500</v>
      </c>
      <c r="Y105" s="8">
        <v>500</v>
      </c>
      <c r="Z105" s="12">
        <f t="shared" si="1"/>
        <v>3000</v>
      </c>
      <c r="AA105" s="7" t="s">
        <v>54</v>
      </c>
    </row>
    <row r="106" spans="2:27" x14ac:dyDescent="0.25">
      <c r="B106" s="6">
        <v>12685951</v>
      </c>
      <c r="C106" s="17">
        <v>0.36805555555555558</v>
      </c>
      <c r="D106" s="11">
        <v>44474</v>
      </c>
      <c r="E106" s="5" t="s">
        <v>31</v>
      </c>
      <c r="F106" s="5">
        <v>6699</v>
      </c>
      <c r="G106" s="5">
        <v>1</v>
      </c>
      <c r="H106" s="5">
        <v>1</v>
      </c>
      <c r="J106" s="8">
        <v>950</v>
      </c>
      <c r="K106" s="8">
        <v>280.5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>
        <v>569.5</v>
      </c>
      <c r="Y106" s="8">
        <f>51.26+51.26</f>
        <v>102.52</v>
      </c>
      <c r="Z106" s="12">
        <f t="shared" si="1"/>
        <v>672.02</v>
      </c>
      <c r="AA106" s="7" t="s">
        <v>54</v>
      </c>
    </row>
    <row r="107" spans="2:27" x14ac:dyDescent="0.25">
      <c r="B107" s="6">
        <v>12685951</v>
      </c>
      <c r="C107" s="17">
        <v>0.35625000000000001</v>
      </c>
      <c r="D107" s="11">
        <v>44474</v>
      </c>
      <c r="E107" s="5" t="s">
        <v>31</v>
      </c>
      <c r="F107" s="5">
        <v>6697</v>
      </c>
      <c r="G107" s="5">
        <v>1</v>
      </c>
      <c r="H107" s="5">
        <v>1</v>
      </c>
      <c r="J107" s="8">
        <v>975</v>
      </c>
      <c r="K107" s="8">
        <v>321.75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>
        <v>653.25</v>
      </c>
      <c r="Y107" s="8">
        <f>58.79+58.79</f>
        <v>117.58</v>
      </c>
      <c r="Z107" s="12">
        <f t="shared" si="1"/>
        <v>770.83</v>
      </c>
      <c r="AA107" s="7" t="s">
        <v>54</v>
      </c>
    </row>
    <row r="108" spans="2:27" x14ac:dyDescent="0.25">
      <c r="B108" s="6">
        <v>14972781</v>
      </c>
      <c r="C108" s="17">
        <v>0.35138888888888892</v>
      </c>
      <c r="D108" s="11">
        <v>44474</v>
      </c>
      <c r="E108" s="5" t="s">
        <v>31</v>
      </c>
      <c r="F108" s="5">
        <v>6694</v>
      </c>
      <c r="G108" s="5">
        <v>3</v>
      </c>
      <c r="H108" s="5">
        <v>3</v>
      </c>
      <c r="J108" s="8">
        <v>4248</v>
      </c>
      <c r="K108" s="8">
        <v>1188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>
        <v>2412</v>
      </c>
      <c r="Y108" s="8">
        <f>217.08+217.08</f>
        <v>434.16</v>
      </c>
      <c r="Z108" s="12">
        <f t="shared" si="1"/>
        <v>2846.16</v>
      </c>
      <c r="AA108" s="7" t="s">
        <v>54</v>
      </c>
    </row>
    <row r="109" spans="2:27" x14ac:dyDescent="0.25">
      <c r="B109" s="6">
        <v>12966211</v>
      </c>
      <c r="C109" s="17">
        <v>0.3756944444444445</v>
      </c>
      <c r="D109" s="11">
        <v>44475</v>
      </c>
      <c r="E109" s="5" t="s">
        <v>55</v>
      </c>
      <c r="F109" s="5">
        <v>3853</v>
      </c>
      <c r="G109" s="5">
        <v>2</v>
      </c>
      <c r="H109" s="5">
        <v>2</v>
      </c>
      <c r="J109" s="8">
        <v>5000</v>
      </c>
      <c r="K109" s="8">
        <v>1000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>
        <v>4000</v>
      </c>
      <c r="Y109" s="8">
        <v>800</v>
      </c>
      <c r="Z109" s="12">
        <f t="shared" si="1"/>
        <v>4800</v>
      </c>
      <c r="AA109" s="7" t="s">
        <v>75</v>
      </c>
    </row>
    <row r="110" spans="2:27" x14ac:dyDescent="0.25">
      <c r="B110" s="9" t="s">
        <v>76</v>
      </c>
      <c r="C110" s="17">
        <v>0.3659722222222222</v>
      </c>
      <c r="D110" s="11">
        <v>44475</v>
      </c>
      <c r="E110" s="5" t="s">
        <v>31</v>
      </c>
      <c r="F110" s="5">
        <v>6732</v>
      </c>
      <c r="G110" s="5">
        <v>2</v>
      </c>
      <c r="H110" s="5">
        <v>2</v>
      </c>
      <c r="J110" s="8">
        <v>2500</v>
      </c>
      <c r="K110" s="8">
        <v>1250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>
        <v>1250</v>
      </c>
      <c r="Y110" s="8">
        <v>225</v>
      </c>
      <c r="Z110" s="12">
        <f t="shared" si="1"/>
        <v>1475</v>
      </c>
      <c r="AA110" s="7" t="s">
        <v>54</v>
      </c>
    </row>
    <row r="111" spans="2:27" x14ac:dyDescent="0.25">
      <c r="B111" s="6">
        <v>14323221</v>
      </c>
      <c r="C111" s="17">
        <v>0.33333333333333331</v>
      </c>
      <c r="D111" s="11">
        <v>44477</v>
      </c>
      <c r="E111" s="5" t="s">
        <v>31</v>
      </c>
      <c r="F111" s="5">
        <v>6823</v>
      </c>
      <c r="G111" s="5">
        <v>1</v>
      </c>
      <c r="H111" s="5">
        <v>1</v>
      </c>
      <c r="J111" s="8">
        <v>550</v>
      </c>
      <c r="K111" s="8">
        <v>110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>
        <v>440</v>
      </c>
      <c r="Y111" s="8">
        <f>39.6+39.6</f>
        <v>79.2</v>
      </c>
      <c r="Z111" s="12">
        <f t="shared" si="1"/>
        <v>519.20000000000005</v>
      </c>
      <c r="AA111" s="7" t="s">
        <v>69</v>
      </c>
    </row>
    <row r="112" spans="2:27" x14ac:dyDescent="0.25">
      <c r="B112" s="6">
        <v>12685951</v>
      </c>
      <c r="C112" s="17">
        <v>0.32500000000000001</v>
      </c>
      <c r="D112" s="11">
        <v>44477</v>
      </c>
      <c r="E112" s="5" t="s">
        <v>31</v>
      </c>
      <c r="F112" s="5">
        <v>6819</v>
      </c>
      <c r="G112" s="5">
        <v>2</v>
      </c>
      <c r="H112" s="5">
        <v>2</v>
      </c>
      <c r="J112" s="8">
        <v>2050</v>
      </c>
      <c r="K112" s="8">
        <v>676.5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>
        <v>1373.5</v>
      </c>
      <c r="Y112" s="8">
        <f>123.62+123.62</f>
        <v>247.24</v>
      </c>
      <c r="Z112" s="12">
        <f t="shared" si="1"/>
        <v>1620.74</v>
      </c>
      <c r="AA112" s="7" t="s">
        <v>54</v>
      </c>
    </row>
    <row r="113" spans="2:27" x14ac:dyDescent="0.25">
      <c r="B113" s="6">
        <v>14972791</v>
      </c>
      <c r="C113" s="17">
        <v>0.38958333333333334</v>
      </c>
      <c r="D113" s="11">
        <v>44478</v>
      </c>
      <c r="E113" s="5" t="s">
        <v>31</v>
      </c>
      <c r="F113" s="5">
        <v>6837</v>
      </c>
      <c r="G113" s="5">
        <v>2</v>
      </c>
      <c r="H113" s="5">
        <v>2</v>
      </c>
      <c r="J113" s="8">
        <v>1398</v>
      </c>
      <c r="K113" s="8">
        <v>699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>
        <v>699</v>
      </c>
      <c r="Y113" s="8">
        <f>62.91+62.91</f>
        <v>125.82</v>
      </c>
      <c r="Z113" s="12">
        <f t="shared" si="1"/>
        <v>824.81999999999994</v>
      </c>
      <c r="AA113" s="7" t="s">
        <v>54</v>
      </c>
    </row>
    <row r="114" spans="2:27" x14ac:dyDescent="0.25">
      <c r="B114" s="6">
        <v>12397391</v>
      </c>
      <c r="C114" s="17">
        <v>0.85972222222222217</v>
      </c>
      <c r="D114" s="11">
        <v>44479</v>
      </c>
      <c r="E114" s="5" t="s">
        <v>31</v>
      </c>
      <c r="F114" s="5">
        <v>6919</v>
      </c>
      <c r="G114" s="5">
        <v>3</v>
      </c>
      <c r="H114" s="5">
        <v>3</v>
      </c>
      <c r="J114" s="8">
        <v>3600</v>
      </c>
      <c r="K114" s="8">
        <v>1188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>
        <v>2412</v>
      </c>
      <c r="Y114" s="8">
        <f>217.08+217.08</f>
        <v>434.16</v>
      </c>
      <c r="Z114" s="12">
        <f t="shared" si="1"/>
        <v>2846.16</v>
      </c>
      <c r="AA114" s="7" t="s">
        <v>54</v>
      </c>
    </row>
    <row r="115" spans="2:27" x14ac:dyDescent="0.25">
      <c r="B115" s="6" t="s">
        <v>77</v>
      </c>
      <c r="C115" s="17">
        <v>0.85972222222222217</v>
      </c>
      <c r="D115" s="11">
        <v>44479</v>
      </c>
      <c r="E115" s="5" t="s">
        <v>31</v>
      </c>
      <c r="F115" s="5">
        <v>6918</v>
      </c>
      <c r="G115" s="5">
        <v>7</v>
      </c>
      <c r="H115" s="5">
        <v>7</v>
      </c>
      <c r="J115" s="8">
        <v>8400</v>
      </c>
      <c r="K115" s="8">
        <v>4200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>
        <v>4200</v>
      </c>
      <c r="Y115" s="8">
        <f>378+378</f>
        <v>756</v>
      </c>
      <c r="Z115" s="12">
        <f t="shared" si="1"/>
        <v>4956</v>
      </c>
      <c r="AA115" s="7" t="s">
        <v>54</v>
      </c>
    </row>
    <row r="116" spans="2:27" x14ac:dyDescent="0.25">
      <c r="B116" s="6">
        <v>12436771</v>
      </c>
      <c r="C116" s="17">
        <v>0.76666666666666661</v>
      </c>
      <c r="D116" s="11">
        <v>44479</v>
      </c>
      <c r="E116" s="5" t="s">
        <v>31</v>
      </c>
      <c r="F116" s="5">
        <v>6914</v>
      </c>
      <c r="G116" s="5">
        <v>1</v>
      </c>
      <c r="H116" s="5">
        <v>1</v>
      </c>
      <c r="J116" s="8">
        <v>425</v>
      </c>
      <c r="K116" s="8">
        <v>212.5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>
        <v>212.5</v>
      </c>
      <c r="Y116" s="8">
        <f>19.13+19.13</f>
        <v>38.26</v>
      </c>
      <c r="Z116" s="12">
        <f t="shared" si="1"/>
        <v>250.76</v>
      </c>
      <c r="AA116" s="7" t="s">
        <v>54</v>
      </c>
    </row>
    <row r="117" spans="2:27" x14ac:dyDescent="0.25">
      <c r="B117" s="6">
        <v>12406771</v>
      </c>
      <c r="C117" s="17">
        <v>0.76666666666666661</v>
      </c>
      <c r="D117" s="11">
        <v>44479</v>
      </c>
      <c r="E117" s="5" t="s">
        <v>31</v>
      </c>
      <c r="F117" s="5">
        <v>6914</v>
      </c>
      <c r="G117" s="5">
        <v>1</v>
      </c>
      <c r="H117" s="5">
        <v>1</v>
      </c>
      <c r="J117" s="8">
        <v>425</v>
      </c>
      <c r="K117" s="8">
        <v>212.5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>
        <v>212.5</v>
      </c>
      <c r="Y117" s="8">
        <v>38.26</v>
      </c>
      <c r="Z117" s="12">
        <f t="shared" si="1"/>
        <v>250.76</v>
      </c>
      <c r="AA117" s="7" t="s">
        <v>54</v>
      </c>
    </row>
    <row r="118" spans="2:27" x14ac:dyDescent="0.25">
      <c r="B118" s="6">
        <v>14375157</v>
      </c>
      <c r="C118" s="17">
        <v>0.54861111111111105</v>
      </c>
      <c r="D118" s="11">
        <v>44479</v>
      </c>
      <c r="E118" s="5" t="s">
        <v>31</v>
      </c>
      <c r="F118" s="5">
        <v>6895</v>
      </c>
      <c r="G118" s="5">
        <v>4</v>
      </c>
      <c r="H118" s="5">
        <v>4</v>
      </c>
      <c r="J118" s="8">
        <v>5996</v>
      </c>
      <c r="K118" s="8">
        <v>1199.2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>
        <v>4796.8</v>
      </c>
      <c r="Y118" s="8">
        <f>431.71+431.71</f>
        <v>863.42</v>
      </c>
      <c r="Z118" s="12">
        <f t="shared" si="1"/>
        <v>5660.22</v>
      </c>
      <c r="AA118" s="7" t="s">
        <v>54</v>
      </c>
    </row>
    <row r="119" spans="2:27" x14ac:dyDescent="0.25">
      <c r="B119" s="6" t="s">
        <v>67</v>
      </c>
      <c r="C119" s="17">
        <v>0.59861111111111109</v>
      </c>
      <c r="D119" s="11">
        <v>44481</v>
      </c>
      <c r="E119" s="5" t="s">
        <v>31</v>
      </c>
      <c r="F119" s="5">
        <v>6978</v>
      </c>
      <c r="G119" s="5">
        <v>2</v>
      </c>
      <c r="H119" s="5">
        <v>2</v>
      </c>
      <c r="J119" s="8">
        <v>1150</v>
      </c>
      <c r="K119" s="8">
        <v>575</v>
      </c>
      <c r="L119" s="8">
        <v>175</v>
      </c>
      <c r="M119" s="8">
        <v>87.5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>
        <v>900</v>
      </c>
      <c r="Y119" s="8">
        <f>81+81</f>
        <v>162</v>
      </c>
      <c r="Z119" s="12">
        <f t="shared" si="1"/>
        <v>1062</v>
      </c>
      <c r="AA119" s="7" t="s">
        <v>54</v>
      </c>
    </row>
    <row r="120" spans="2:27" x14ac:dyDescent="0.25">
      <c r="B120" s="6" t="s">
        <v>78</v>
      </c>
      <c r="C120" s="17">
        <v>0.3527777777777778</v>
      </c>
      <c r="D120" s="11">
        <v>44481</v>
      </c>
      <c r="E120" s="5" t="s">
        <v>31</v>
      </c>
      <c r="F120" s="5">
        <v>6970</v>
      </c>
      <c r="G120" s="5">
        <v>10</v>
      </c>
      <c r="H120" s="5">
        <v>10</v>
      </c>
      <c r="J120" s="8">
        <v>6990</v>
      </c>
      <c r="K120" s="8">
        <v>3495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>
        <v>3495</v>
      </c>
      <c r="Y120" s="8">
        <f>314.55+314.55</f>
        <v>629.1</v>
      </c>
      <c r="Z120" s="12">
        <f t="shared" si="1"/>
        <v>4124.1000000000004</v>
      </c>
      <c r="AA120" s="7" t="s">
        <v>54</v>
      </c>
    </row>
    <row r="121" spans="2:27" x14ac:dyDescent="0.25">
      <c r="B121" s="6" t="s">
        <v>27</v>
      </c>
      <c r="C121" s="17">
        <v>0.89930555555555547</v>
      </c>
      <c r="D121" s="11">
        <v>44482</v>
      </c>
      <c r="E121" s="5" t="s">
        <v>31</v>
      </c>
      <c r="F121" s="5">
        <v>6039</v>
      </c>
      <c r="G121" s="5">
        <v>1</v>
      </c>
      <c r="H121" s="5">
        <v>1</v>
      </c>
      <c r="J121" s="8">
        <v>600</v>
      </c>
      <c r="K121" s="8">
        <v>300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>
        <v>300</v>
      </c>
      <c r="Y121" s="8">
        <v>54</v>
      </c>
      <c r="Z121" s="12">
        <f t="shared" si="1"/>
        <v>354</v>
      </c>
      <c r="AA121" s="7" t="s">
        <v>59</v>
      </c>
    </row>
    <row r="122" spans="2:27" x14ac:dyDescent="0.25">
      <c r="B122" s="6">
        <v>12328501</v>
      </c>
      <c r="C122" s="17">
        <v>0.87013888888888891</v>
      </c>
      <c r="D122" s="11">
        <v>44482</v>
      </c>
      <c r="E122" s="5" t="s">
        <v>31</v>
      </c>
      <c r="F122" s="5">
        <v>6035</v>
      </c>
      <c r="G122" s="5">
        <v>4</v>
      </c>
      <c r="H122" s="5">
        <v>4</v>
      </c>
      <c r="J122" s="8">
        <f>K122*4</f>
        <v>3650</v>
      </c>
      <c r="K122" s="8">
        <v>912.5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>
        <v>2737</v>
      </c>
      <c r="Y122" s="8">
        <f>246.38+246.38</f>
        <v>492.76</v>
      </c>
      <c r="Z122" s="12">
        <f t="shared" si="1"/>
        <v>3229.76</v>
      </c>
      <c r="AA122" s="7" t="s">
        <v>54</v>
      </c>
    </row>
    <row r="123" spans="2:27" x14ac:dyDescent="0.25">
      <c r="B123" s="6" t="s">
        <v>27</v>
      </c>
      <c r="C123" s="17">
        <v>0.8340277777777777</v>
      </c>
      <c r="D123" s="11">
        <v>44484</v>
      </c>
      <c r="E123" s="5" t="s">
        <v>31</v>
      </c>
      <c r="F123" s="5">
        <v>6114</v>
      </c>
      <c r="G123" s="5">
        <v>2</v>
      </c>
      <c r="H123" s="5">
        <v>2</v>
      </c>
      <c r="J123" s="5">
        <f>K123*2</f>
        <v>875</v>
      </c>
      <c r="K123" s="5">
        <v>437.5</v>
      </c>
      <c r="X123" s="5">
        <v>437.5</v>
      </c>
      <c r="Y123" s="5">
        <f>39.38+39.38</f>
        <v>78.760000000000005</v>
      </c>
      <c r="Z123" s="12">
        <f t="shared" si="1"/>
        <v>516.26</v>
      </c>
      <c r="AA123" s="5">
        <v>277</v>
      </c>
    </row>
    <row r="124" spans="2:27" x14ac:dyDescent="0.25">
      <c r="B124" s="6" t="s">
        <v>27</v>
      </c>
      <c r="C124" s="17">
        <v>0.62083333333333335</v>
      </c>
      <c r="D124" s="11">
        <v>44484</v>
      </c>
      <c r="E124" s="5" t="s">
        <v>31</v>
      </c>
      <c r="F124" s="5">
        <v>6103</v>
      </c>
      <c r="G124" s="5">
        <v>3</v>
      </c>
      <c r="H124" s="5">
        <v>3</v>
      </c>
      <c r="J124" s="5">
        <v>2499.5</v>
      </c>
      <c r="K124" s="5">
        <v>1249.75</v>
      </c>
      <c r="X124" s="5">
        <v>1249.75</v>
      </c>
      <c r="Y124" s="5">
        <f>112.48+112.48</f>
        <v>224.96</v>
      </c>
      <c r="Z124" s="12">
        <f t="shared" si="1"/>
        <v>1474.71</v>
      </c>
      <c r="AA124" s="5">
        <v>277</v>
      </c>
    </row>
    <row r="125" spans="2:27" x14ac:dyDescent="0.25">
      <c r="B125" s="6">
        <v>14756051</v>
      </c>
      <c r="C125" s="17">
        <v>0.87152777777777779</v>
      </c>
      <c r="D125" s="11">
        <v>44485</v>
      </c>
      <c r="E125" s="5" t="s">
        <v>31</v>
      </c>
      <c r="F125" s="5">
        <v>6182</v>
      </c>
      <c r="G125" s="5">
        <v>2</v>
      </c>
      <c r="H125" s="5">
        <v>2</v>
      </c>
      <c r="J125" s="5">
        <f>K125*2</f>
        <v>1375</v>
      </c>
      <c r="K125" s="5">
        <v>687.5</v>
      </c>
      <c r="X125" s="5">
        <v>687.5</v>
      </c>
      <c r="Y125" s="5">
        <f>61.88+61.88</f>
        <v>123.76</v>
      </c>
      <c r="Z125" s="12">
        <f t="shared" si="1"/>
        <v>811.26</v>
      </c>
      <c r="AA125" s="5">
        <v>277</v>
      </c>
    </row>
    <row r="126" spans="2:27" x14ac:dyDescent="0.25">
      <c r="B126" s="6">
        <v>14323221</v>
      </c>
      <c r="C126" s="17">
        <v>0.63680555555555551</v>
      </c>
      <c r="D126" s="11">
        <v>44485</v>
      </c>
      <c r="E126" s="5" t="s">
        <v>31</v>
      </c>
      <c r="F126" s="5">
        <v>6156</v>
      </c>
      <c r="G126" s="5">
        <v>1</v>
      </c>
      <c r="H126" s="5">
        <v>1</v>
      </c>
      <c r="J126" s="5">
        <v>425</v>
      </c>
      <c r="K126" s="5">
        <v>85</v>
      </c>
      <c r="X126" s="5">
        <v>340</v>
      </c>
      <c r="Y126" s="5">
        <f>30.6+30.6</f>
        <v>61.2</v>
      </c>
      <c r="Z126" s="12">
        <f t="shared" si="1"/>
        <v>401.2</v>
      </c>
      <c r="AA126" s="5">
        <v>277</v>
      </c>
    </row>
    <row r="127" spans="2:27" x14ac:dyDescent="0.25">
      <c r="B127" s="6" t="s">
        <v>79</v>
      </c>
      <c r="C127" s="17">
        <v>0.91388888888888886</v>
      </c>
      <c r="D127" s="11">
        <v>44486</v>
      </c>
      <c r="E127" s="5" t="s">
        <v>31</v>
      </c>
      <c r="F127" s="5">
        <v>6244</v>
      </c>
      <c r="G127" s="5">
        <v>4</v>
      </c>
      <c r="H127" s="5">
        <v>4</v>
      </c>
      <c r="J127" s="5">
        <v>4800</v>
      </c>
      <c r="K127" s="5">
        <v>2400</v>
      </c>
      <c r="X127" s="5">
        <v>2400</v>
      </c>
      <c r="Y127" s="5">
        <v>432</v>
      </c>
      <c r="Z127" s="12">
        <f t="shared" si="1"/>
        <v>2832</v>
      </c>
      <c r="AA127" s="5">
        <v>277</v>
      </c>
    </row>
    <row r="128" spans="2:27" x14ac:dyDescent="0.25">
      <c r="B128" s="6" t="s">
        <v>27</v>
      </c>
      <c r="C128" s="17">
        <v>0.85763888888888884</v>
      </c>
      <c r="D128" s="11">
        <v>44486</v>
      </c>
      <c r="E128" s="5" t="s">
        <v>31</v>
      </c>
      <c r="F128" s="5">
        <v>6230</v>
      </c>
      <c r="G128" s="5">
        <v>1</v>
      </c>
      <c r="H128" s="5">
        <v>1</v>
      </c>
      <c r="J128" s="5">
        <v>550</v>
      </c>
      <c r="K128" s="5">
        <v>275</v>
      </c>
      <c r="X128" s="5">
        <v>275</v>
      </c>
      <c r="Y128" s="5">
        <f>24.75+24.75</f>
        <v>49.5</v>
      </c>
      <c r="Z128" s="12">
        <f t="shared" si="1"/>
        <v>324.5</v>
      </c>
      <c r="AA128" s="5">
        <v>363</v>
      </c>
    </row>
    <row r="129" spans="2:27" x14ac:dyDescent="0.25">
      <c r="B129" s="6" t="s">
        <v>27</v>
      </c>
      <c r="C129" s="17">
        <v>0.5444444444444444</v>
      </c>
      <c r="D129" s="11">
        <v>44486</v>
      </c>
      <c r="E129" s="5" t="s">
        <v>31</v>
      </c>
      <c r="F129" s="5">
        <v>6196</v>
      </c>
      <c r="G129" s="5">
        <v>4</v>
      </c>
      <c r="H129" s="5">
        <v>4</v>
      </c>
      <c r="J129" s="5">
        <f>K129*2</f>
        <v>6296</v>
      </c>
      <c r="K129" s="5">
        <v>3148</v>
      </c>
      <c r="X129" s="5">
        <v>4548</v>
      </c>
      <c r="Y129" s="5">
        <f>409.32+409.32</f>
        <v>818.64</v>
      </c>
      <c r="Z129" s="12">
        <f t="shared" si="1"/>
        <v>5366.64</v>
      </c>
      <c r="AA129" s="5">
        <v>277</v>
      </c>
    </row>
    <row r="130" spans="2:27" x14ac:dyDescent="0.25">
      <c r="B130" s="6" t="s">
        <v>27</v>
      </c>
      <c r="C130" s="17">
        <v>0.625</v>
      </c>
      <c r="D130" s="11">
        <v>44487</v>
      </c>
      <c r="E130" s="5" t="s">
        <v>31</v>
      </c>
      <c r="F130" s="5">
        <v>6257</v>
      </c>
      <c r="G130" s="5">
        <v>2</v>
      </c>
      <c r="H130" s="5">
        <v>2</v>
      </c>
      <c r="J130" s="5">
        <f>K130*2</f>
        <v>1625</v>
      </c>
      <c r="K130" s="5">
        <v>812.5</v>
      </c>
      <c r="L130" s="5">
        <v>175</v>
      </c>
      <c r="M130" s="5">
        <v>35</v>
      </c>
      <c r="X130" s="5">
        <v>952.5</v>
      </c>
      <c r="Y130" s="5">
        <f>85.73+85.73</f>
        <v>171.46</v>
      </c>
      <c r="Z130" s="12">
        <f t="shared" si="1"/>
        <v>1123.96</v>
      </c>
      <c r="AA130" s="5">
        <v>277</v>
      </c>
    </row>
    <row r="131" spans="2:27" x14ac:dyDescent="0.25">
      <c r="B131" s="6">
        <v>14379151</v>
      </c>
      <c r="C131" s="17">
        <v>0.34166666666666662</v>
      </c>
      <c r="D131" s="11">
        <v>44487</v>
      </c>
      <c r="E131" s="5" t="s">
        <v>31</v>
      </c>
      <c r="F131" s="5">
        <v>6249</v>
      </c>
      <c r="G131" s="5">
        <v>2</v>
      </c>
      <c r="H131" s="5">
        <v>2</v>
      </c>
      <c r="J131" s="5">
        <v>1398</v>
      </c>
      <c r="K131" s="5">
        <v>699</v>
      </c>
      <c r="X131" s="5">
        <v>699</v>
      </c>
      <c r="Y131" s="5">
        <f>62.91+62.91</f>
        <v>125.82</v>
      </c>
      <c r="Z131" s="12">
        <f t="shared" si="1"/>
        <v>824.81999999999994</v>
      </c>
      <c r="AA131" s="5">
        <v>277</v>
      </c>
    </row>
    <row r="132" spans="2:27" x14ac:dyDescent="0.25">
      <c r="B132" s="6">
        <v>12177981</v>
      </c>
      <c r="C132" s="17">
        <v>0.81041666666666667</v>
      </c>
      <c r="D132" s="11">
        <v>44488</v>
      </c>
      <c r="E132" s="5" t="s">
        <v>31</v>
      </c>
      <c r="F132" s="5">
        <v>6308</v>
      </c>
      <c r="G132" s="5">
        <v>2</v>
      </c>
      <c r="H132" s="5">
        <v>2</v>
      </c>
      <c r="J132" s="5">
        <f>K132*2</f>
        <v>1475</v>
      </c>
      <c r="K132" s="5">
        <v>737.5</v>
      </c>
      <c r="X132" s="5">
        <v>362.5</v>
      </c>
      <c r="Y132" s="5">
        <f>32.63+32.63</f>
        <v>65.260000000000005</v>
      </c>
      <c r="Z132" s="12">
        <f t="shared" si="1"/>
        <v>427.76</v>
      </c>
      <c r="AA132" s="5">
        <v>343</v>
      </c>
    </row>
    <row r="133" spans="2:27" x14ac:dyDescent="0.25">
      <c r="B133" s="6">
        <v>121000791</v>
      </c>
      <c r="C133" s="17">
        <v>0.84652777777777777</v>
      </c>
      <c r="D133" s="11">
        <v>44489</v>
      </c>
      <c r="E133" s="5" t="s">
        <v>55</v>
      </c>
      <c r="F133" s="5">
        <v>3995</v>
      </c>
      <c r="G133" s="5">
        <v>1</v>
      </c>
      <c r="H133" s="5">
        <v>1</v>
      </c>
      <c r="P133" s="5">
        <v>675</v>
      </c>
      <c r="Q133" s="5">
        <v>135</v>
      </c>
      <c r="X133" s="5">
        <v>540</v>
      </c>
      <c r="Y133" s="5">
        <v>108</v>
      </c>
      <c r="Z133" s="12">
        <f t="shared" si="1"/>
        <v>648</v>
      </c>
      <c r="AA133" s="5">
        <v>277</v>
      </c>
    </row>
    <row r="134" spans="2:27" x14ac:dyDescent="0.25">
      <c r="B134" s="6" t="s">
        <v>27</v>
      </c>
      <c r="C134" s="17">
        <v>0.95000000000000007</v>
      </c>
      <c r="D134" s="11">
        <v>44489</v>
      </c>
      <c r="E134" s="5" t="s">
        <v>31</v>
      </c>
      <c r="F134" s="5">
        <v>6367</v>
      </c>
      <c r="G134" s="5">
        <v>2</v>
      </c>
      <c r="H134" s="5">
        <v>2</v>
      </c>
      <c r="J134" s="5">
        <v>2400</v>
      </c>
      <c r="K134" s="5">
        <v>1200</v>
      </c>
      <c r="X134" s="5">
        <v>1200</v>
      </c>
      <c r="Y134" s="5">
        <v>216</v>
      </c>
      <c r="Z134" s="12">
        <f t="shared" si="1"/>
        <v>1416</v>
      </c>
      <c r="AA134" s="5">
        <v>277</v>
      </c>
    </row>
    <row r="135" spans="2:27" x14ac:dyDescent="0.25">
      <c r="B135" s="6" t="s">
        <v>27</v>
      </c>
      <c r="C135" s="17">
        <v>0.90277777777777779</v>
      </c>
      <c r="D135" s="11">
        <v>44489</v>
      </c>
      <c r="E135" s="5" t="s">
        <v>31</v>
      </c>
      <c r="F135" s="5">
        <v>6358</v>
      </c>
      <c r="G135" s="5">
        <v>2</v>
      </c>
      <c r="H135" s="5">
        <v>2</v>
      </c>
      <c r="J135" s="5">
        <v>2400</v>
      </c>
      <c r="K135" s="5">
        <v>840</v>
      </c>
      <c r="X135" s="5">
        <v>1560</v>
      </c>
      <c r="Y135" s="5">
        <f>140.4+140.4</f>
        <v>280.8</v>
      </c>
      <c r="Z135" s="12">
        <f t="shared" si="1"/>
        <v>1840.8</v>
      </c>
      <c r="AA135" s="5">
        <v>340</v>
      </c>
    </row>
    <row r="136" spans="2:27" x14ac:dyDescent="0.25">
      <c r="B136" s="6">
        <v>14756051</v>
      </c>
      <c r="C136" s="17">
        <v>0.88194444444444453</v>
      </c>
      <c r="D136" s="11">
        <v>44489</v>
      </c>
      <c r="E136" s="5" t="s">
        <v>31</v>
      </c>
      <c r="F136" s="5">
        <v>6355</v>
      </c>
      <c r="G136" s="5">
        <v>3</v>
      </c>
      <c r="H136" s="5">
        <v>3</v>
      </c>
      <c r="J136" s="5">
        <v>1200</v>
      </c>
      <c r="K136" s="5">
        <v>240</v>
      </c>
      <c r="X136" s="5">
        <v>960</v>
      </c>
      <c r="Y136" s="5">
        <f>86.4+86.4</f>
        <v>172.8</v>
      </c>
      <c r="Z136" s="12">
        <f t="shared" si="1"/>
        <v>1132.8</v>
      </c>
      <c r="AA136" s="5">
        <v>277</v>
      </c>
    </row>
    <row r="137" spans="2:27" x14ac:dyDescent="0.25">
      <c r="B137" s="6">
        <v>12100791</v>
      </c>
      <c r="C137" s="17">
        <v>0.84027777777777779</v>
      </c>
      <c r="D137" s="11">
        <v>44489</v>
      </c>
      <c r="E137" s="5" t="s">
        <v>31</v>
      </c>
      <c r="F137" s="5">
        <v>6349</v>
      </c>
      <c r="G137" s="5">
        <v>2</v>
      </c>
      <c r="H137" s="5">
        <v>2</v>
      </c>
      <c r="J137" s="5">
        <v>500</v>
      </c>
      <c r="K137" s="5">
        <v>250</v>
      </c>
      <c r="L137" s="5">
        <v>175</v>
      </c>
      <c r="M137" s="5">
        <v>35</v>
      </c>
      <c r="X137" s="5">
        <v>390</v>
      </c>
      <c r="Y137" s="5">
        <f>35.1+35.1</f>
        <v>70.2</v>
      </c>
      <c r="Z137" s="12">
        <f t="shared" si="1"/>
        <v>460.2</v>
      </c>
      <c r="AA137" s="5">
        <v>277</v>
      </c>
    </row>
    <row r="138" spans="2:27" x14ac:dyDescent="0.25">
      <c r="B138" s="6" t="s">
        <v>27</v>
      </c>
      <c r="C138" s="17">
        <v>0.8666666666666667</v>
      </c>
      <c r="D138" s="11">
        <v>44491</v>
      </c>
      <c r="E138" s="5" t="s">
        <v>31</v>
      </c>
      <c r="F138" s="5">
        <v>6438</v>
      </c>
      <c r="G138" s="5">
        <v>10</v>
      </c>
      <c r="H138" s="5">
        <v>10</v>
      </c>
      <c r="J138" s="5">
        <v>12000</v>
      </c>
      <c r="K138" s="5">
        <v>6000</v>
      </c>
      <c r="X138" s="5">
        <v>6000</v>
      </c>
      <c r="Y138" s="5">
        <v>1080</v>
      </c>
      <c r="Z138" s="12">
        <f t="shared" si="1"/>
        <v>7080</v>
      </c>
      <c r="AA138" s="5">
        <v>340</v>
      </c>
    </row>
    <row r="139" spans="2:27" x14ac:dyDescent="0.25">
      <c r="B139" s="6" t="s">
        <v>80</v>
      </c>
      <c r="C139" s="17">
        <v>0.8666666666666667</v>
      </c>
      <c r="D139" s="11">
        <v>44491</v>
      </c>
      <c r="E139" s="5" t="s">
        <v>31</v>
      </c>
      <c r="F139" s="5">
        <v>6437</v>
      </c>
      <c r="G139" s="5">
        <v>8</v>
      </c>
      <c r="H139" s="5">
        <v>8</v>
      </c>
      <c r="J139" s="5">
        <v>10000</v>
      </c>
      <c r="K139" s="5">
        <v>5400</v>
      </c>
      <c r="X139" s="5">
        <v>5400</v>
      </c>
      <c r="Y139" s="5">
        <f>486+486</f>
        <v>972</v>
      </c>
      <c r="Z139" s="12">
        <f t="shared" si="1"/>
        <v>6372</v>
      </c>
      <c r="AA139" s="5">
        <v>340</v>
      </c>
    </row>
    <row r="140" spans="2:27" x14ac:dyDescent="0.25">
      <c r="B140" s="6" t="s">
        <v>81</v>
      </c>
      <c r="C140" s="17">
        <v>0.94791666666666663</v>
      </c>
      <c r="D140" s="11">
        <v>44492</v>
      </c>
      <c r="E140" s="5" t="s">
        <v>31</v>
      </c>
      <c r="F140" s="5">
        <v>6508</v>
      </c>
      <c r="G140" s="5">
        <v>1</v>
      </c>
      <c r="H140" s="5">
        <v>1</v>
      </c>
      <c r="J140" s="5">
        <v>1150</v>
      </c>
      <c r="K140" s="5">
        <v>575</v>
      </c>
      <c r="X140" s="5">
        <v>575</v>
      </c>
      <c r="Y140" s="5">
        <f>51.75+51.75</f>
        <v>103.5</v>
      </c>
      <c r="Z140" s="12">
        <f t="shared" ref="Z140:Z203" si="2">X140+Y140</f>
        <v>678.5</v>
      </c>
      <c r="AA140" s="5">
        <v>340</v>
      </c>
    </row>
    <row r="141" spans="2:27" x14ac:dyDescent="0.25">
      <c r="B141" s="6" t="s">
        <v>27</v>
      </c>
      <c r="C141" s="17">
        <v>0.90138888888888891</v>
      </c>
      <c r="D141" s="11">
        <v>44492</v>
      </c>
      <c r="E141" s="5" t="s">
        <v>31</v>
      </c>
      <c r="F141" s="5">
        <v>6502</v>
      </c>
      <c r="G141" s="5">
        <v>4</v>
      </c>
      <c r="H141" s="5">
        <v>4</v>
      </c>
      <c r="J141" s="5">
        <v>2775</v>
      </c>
      <c r="K141" s="5">
        <v>1387.5</v>
      </c>
      <c r="X141" s="5">
        <v>137.5</v>
      </c>
      <c r="Y141" s="5">
        <f>124.88+124.88</f>
        <v>249.76</v>
      </c>
      <c r="Z141" s="12">
        <f t="shared" si="2"/>
        <v>387.26</v>
      </c>
      <c r="AA141" s="5">
        <v>340</v>
      </c>
    </row>
    <row r="142" spans="2:27" x14ac:dyDescent="0.25">
      <c r="B142" s="6">
        <v>14756051</v>
      </c>
      <c r="C142" s="17">
        <v>0.89722222222222225</v>
      </c>
      <c r="D142" s="11">
        <v>44492</v>
      </c>
      <c r="E142" s="5" t="s">
        <v>31</v>
      </c>
      <c r="F142" s="5">
        <v>6501</v>
      </c>
      <c r="G142" s="5">
        <v>1</v>
      </c>
      <c r="H142" s="5">
        <v>1</v>
      </c>
      <c r="J142" s="5">
        <v>1400</v>
      </c>
      <c r="K142" s="5">
        <v>700</v>
      </c>
      <c r="X142" s="5">
        <v>700</v>
      </c>
      <c r="Y142" s="5">
        <f>63+63</f>
        <v>126</v>
      </c>
      <c r="Z142" s="12">
        <f t="shared" si="2"/>
        <v>826</v>
      </c>
      <c r="AA142" s="5">
        <v>340</v>
      </c>
    </row>
    <row r="143" spans="2:27" x14ac:dyDescent="0.25">
      <c r="B143" s="6" t="s">
        <v>82</v>
      </c>
      <c r="C143" s="17">
        <v>0.87986111111111109</v>
      </c>
      <c r="D143" s="11">
        <v>44492</v>
      </c>
      <c r="E143" s="5" t="s">
        <v>31</v>
      </c>
      <c r="F143" s="5">
        <v>6497</v>
      </c>
      <c r="G143" s="5">
        <v>1</v>
      </c>
      <c r="H143" s="5">
        <v>1</v>
      </c>
      <c r="J143" s="5">
        <v>500</v>
      </c>
      <c r="K143" s="5">
        <v>250</v>
      </c>
      <c r="X143" s="5">
        <v>250</v>
      </c>
      <c r="Y143" s="5">
        <f>22.5+22.5</f>
        <v>45</v>
      </c>
      <c r="Z143" s="12">
        <f t="shared" si="2"/>
        <v>295</v>
      </c>
      <c r="AA143" s="5">
        <v>340</v>
      </c>
    </row>
    <row r="144" spans="2:27" x14ac:dyDescent="0.25">
      <c r="B144" s="6" t="s">
        <v>27</v>
      </c>
      <c r="C144" s="17">
        <v>0.59166666666666667</v>
      </c>
      <c r="D144" s="11">
        <v>44492</v>
      </c>
      <c r="E144" s="5" t="s">
        <v>31</v>
      </c>
      <c r="F144" s="5">
        <v>6473</v>
      </c>
      <c r="G144" s="5">
        <v>4</v>
      </c>
      <c r="H144" s="5">
        <v>4</v>
      </c>
      <c r="J144" s="5">
        <v>5196</v>
      </c>
      <c r="K144" s="5">
        <v>1039.2</v>
      </c>
      <c r="X144" s="5">
        <v>4156.8</v>
      </c>
      <c r="Y144" s="5">
        <f>374.11+374.11</f>
        <v>748.22</v>
      </c>
      <c r="Z144" s="12">
        <f t="shared" si="2"/>
        <v>4905.0200000000004</v>
      </c>
      <c r="AA144" s="5">
        <v>277</v>
      </c>
    </row>
    <row r="145" spans="2:27" x14ac:dyDescent="0.25">
      <c r="B145" s="6">
        <v>14323221</v>
      </c>
      <c r="C145" s="17">
        <v>0.58124999999999993</v>
      </c>
      <c r="D145" s="11">
        <v>44492</v>
      </c>
      <c r="E145" s="5" t="s">
        <v>31</v>
      </c>
      <c r="F145" s="5">
        <v>6472</v>
      </c>
      <c r="G145" s="5">
        <v>1</v>
      </c>
      <c r="H145" s="5">
        <v>1</v>
      </c>
      <c r="J145" s="5">
        <v>425</v>
      </c>
      <c r="K145" s="5">
        <v>85</v>
      </c>
      <c r="X145" s="5">
        <v>340</v>
      </c>
      <c r="Y145" s="5">
        <f>30.6+30.6</f>
        <v>61.2</v>
      </c>
      <c r="Z145" s="12">
        <f t="shared" si="2"/>
        <v>401.2</v>
      </c>
      <c r="AA145" s="5">
        <v>277</v>
      </c>
    </row>
    <row r="146" spans="2:27" x14ac:dyDescent="0.25">
      <c r="B146" s="6" t="s">
        <v>27</v>
      </c>
      <c r="C146" s="17">
        <v>0.55902777777777779</v>
      </c>
      <c r="D146" s="11">
        <v>44492</v>
      </c>
      <c r="E146" s="5" t="s">
        <v>31</v>
      </c>
      <c r="F146" s="5">
        <v>6463</v>
      </c>
      <c r="G146" s="5">
        <v>10</v>
      </c>
      <c r="H146" s="5">
        <v>10</v>
      </c>
      <c r="J146" s="5">
        <f>K146*2</f>
        <v>14040</v>
      </c>
      <c r="K146" s="5">
        <v>7020</v>
      </c>
      <c r="X146" s="5">
        <v>7020</v>
      </c>
      <c r="Y146" s="5">
        <f>631.8+631.8</f>
        <v>1263.5999999999999</v>
      </c>
      <c r="Z146" s="12">
        <f t="shared" si="2"/>
        <v>8283.6</v>
      </c>
      <c r="AA146" s="5">
        <v>277</v>
      </c>
    </row>
    <row r="147" spans="2:27" x14ac:dyDescent="0.25">
      <c r="B147" s="6" t="s">
        <v>27</v>
      </c>
      <c r="C147" s="17">
        <v>0.85972222222222217</v>
      </c>
      <c r="D147" s="11">
        <v>44493</v>
      </c>
      <c r="E147" s="5" t="s">
        <v>31</v>
      </c>
      <c r="F147" s="5">
        <v>6543</v>
      </c>
      <c r="G147" s="5">
        <v>2</v>
      </c>
      <c r="H147" s="5">
        <v>2</v>
      </c>
      <c r="J147" s="5">
        <v>1750</v>
      </c>
      <c r="K147" s="5">
        <v>875</v>
      </c>
      <c r="X147" s="5">
        <v>875</v>
      </c>
      <c r="Y147" s="5">
        <f>78.75+78.75</f>
        <v>157.5</v>
      </c>
      <c r="Z147" s="12">
        <f t="shared" si="2"/>
        <v>1032.5</v>
      </c>
      <c r="AA147" s="5">
        <v>363</v>
      </c>
    </row>
    <row r="148" spans="2:27" x14ac:dyDescent="0.25">
      <c r="B148" s="6" t="s">
        <v>83</v>
      </c>
      <c r="C148" s="17">
        <v>0.92152777777777783</v>
      </c>
      <c r="D148" s="11">
        <v>44496</v>
      </c>
      <c r="E148" s="5" t="s">
        <v>31</v>
      </c>
      <c r="F148" s="5">
        <v>6664</v>
      </c>
      <c r="G148" s="5">
        <v>10</v>
      </c>
      <c r="H148" s="5">
        <v>10</v>
      </c>
      <c r="J148" s="5">
        <v>12000</v>
      </c>
      <c r="K148" s="5">
        <v>6000</v>
      </c>
      <c r="X148" s="5">
        <v>6000</v>
      </c>
      <c r="Y148" s="5">
        <v>1080</v>
      </c>
      <c r="Z148" s="12">
        <f t="shared" si="2"/>
        <v>7080</v>
      </c>
      <c r="AA148" s="5">
        <v>277</v>
      </c>
    </row>
    <row r="149" spans="2:27" x14ac:dyDescent="0.25">
      <c r="B149" s="6" t="s">
        <v>39</v>
      </c>
      <c r="C149" s="17">
        <v>0.96805555555555556</v>
      </c>
      <c r="D149" s="11">
        <v>44497</v>
      </c>
      <c r="E149" s="5" t="s">
        <v>55</v>
      </c>
      <c r="F149" s="5">
        <v>3102</v>
      </c>
      <c r="G149" s="5">
        <v>2</v>
      </c>
      <c r="H149" s="5">
        <v>2</v>
      </c>
      <c r="P149" s="5">
        <v>1050</v>
      </c>
      <c r="Q149" s="5">
        <v>210</v>
      </c>
      <c r="X149" s="5">
        <v>840</v>
      </c>
      <c r="Y149" s="5">
        <v>168</v>
      </c>
      <c r="Z149" s="12">
        <f t="shared" si="2"/>
        <v>1008</v>
      </c>
      <c r="AA149" s="5">
        <v>767</v>
      </c>
    </row>
    <row r="150" spans="2:27" x14ac:dyDescent="0.25">
      <c r="B150" s="6" t="s">
        <v>39</v>
      </c>
      <c r="C150" s="17">
        <v>0.93333333333333324</v>
      </c>
      <c r="D150" s="11">
        <v>44497</v>
      </c>
      <c r="E150" s="5" t="s">
        <v>31</v>
      </c>
      <c r="F150" s="5">
        <v>6703</v>
      </c>
      <c r="G150" s="5">
        <v>1</v>
      </c>
      <c r="H150" s="5">
        <v>1</v>
      </c>
      <c r="J150" s="5">
        <v>1250</v>
      </c>
      <c r="K150" s="5">
        <v>612.5</v>
      </c>
      <c r="X150" s="5">
        <v>612.5</v>
      </c>
      <c r="Y150" s="5">
        <f>55.13+55.13</f>
        <v>110.26</v>
      </c>
      <c r="Z150" s="12">
        <f t="shared" si="2"/>
        <v>722.76</v>
      </c>
      <c r="AA150" s="5">
        <v>340</v>
      </c>
    </row>
    <row r="151" spans="2:27" x14ac:dyDescent="0.25">
      <c r="B151" s="6" t="s">
        <v>39</v>
      </c>
      <c r="C151" s="17">
        <v>0.93055555555555547</v>
      </c>
      <c r="D151" s="11">
        <v>44498</v>
      </c>
      <c r="E151" s="5" t="s">
        <v>31</v>
      </c>
      <c r="F151" s="5">
        <v>6746</v>
      </c>
      <c r="G151" s="5">
        <v>7</v>
      </c>
      <c r="H151" s="5">
        <v>7</v>
      </c>
      <c r="J151" s="5">
        <v>8400</v>
      </c>
      <c r="K151" s="5">
        <v>4200</v>
      </c>
      <c r="X151" s="5">
        <v>4200</v>
      </c>
      <c r="Y151" s="5">
        <f>378+378</f>
        <v>756</v>
      </c>
      <c r="Z151" s="12">
        <f t="shared" si="2"/>
        <v>4956</v>
      </c>
      <c r="AA151" s="5">
        <v>740</v>
      </c>
    </row>
    <row r="152" spans="2:27" x14ac:dyDescent="0.25">
      <c r="B152" s="6" t="s">
        <v>39</v>
      </c>
      <c r="C152" s="17">
        <v>0.92152777777777783</v>
      </c>
      <c r="D152" s="11">
        <v>44498</v>
      </c>
      <c r="E152" s="5" t="s">
        <v>31</v>
      </c>
      <c r="F152" s="5">
        <v>6745</v>
      </c>
      <c r="G152" s="5">
        <v>1</v>
      </c>
      <c r="H152" s="5">
        <v>1</v>
      </c>
      <c r="J152" s="5">
        <v>1200</v>
      </c>
      <c r="K152" s="5">
        <v>600</v>
      </c>
      <c r="X152" s="5">
        <v>600</v>
      </c>
      <c r="Y152" s="5">
        <v>108</v>
      </c>
      <c r="Z152" s="12">
        <f t="shared" si="2"/>
        <v>708</v>
      </c>
      <c r="AA152" s="5">
        <v>763</v>
      </c>
    </row>
    <row r="153" spans="2:27" x14ac:dyDescent="0.25">
      <c r="B153" s="6" t="s">
        <v>39</v>
      </c>
      <c r="C153" s="17">
        <v>0.91736111111111107</v>
      </c>
      <c r="D153" s="11">
        <v>44499</v>
      </c>
      <c r="E153" s="5" t="s">
        <v>55</v>
      </c>
      <c r="F153" s="5">
        <v>3133</v>
      </c>
      <c r="G153" s="5">
        <v>2</v>
      </c>
      <c r="H153" s="5">
        <v>2</v>
      </c>
      <c r="J153" s="5">
        <f>K153*5</f>
        <v>1650</v>
      </c>
      <c r="K153" s="5">
        <v>330</v>
      </c>
      <c r="X153" s="5">
        <v>1320</v>
      </c>
      <c r="Y153" s="5">
        <v>264</v>
      </c>
      <c r="Z153" s="12">
        <f t="shared" si="2"/>
        <v>1584</v>
      </c>
      <c r="AA153" s="5">
        <v>759</v>
      </c>
    </row>
    <row r="154" spans="2:27" x14ac:dyDescent="0.25">
      <c r="B154" s="6" t="s">
        <v>39</v>
      </c>
      <c r="C154" s="17">
        <v>0.93402777777777779</v>
      </c>
      <c r="D154" s="11">
        <v>44499</v>
      </c>
      <c r="E154" s="5" t="s">
        <v>31</v>
      </c>
      <c r="F154" s="5">
        <v>6800</v>
      </c>
      <c r="G154" s="5">
        <v>8</v>
      </c>
      <c r="H154" s="5">
        <v>8</v>
      </c>
      <c r="J154" s="5">
        <v>10100</v>
      </c>
      <c r="K154" s="5">
        <v>5050</v>
      </c>
      <c r="X154" s="5">
        <v>5050</v>
      </c>
      <c r="Y154" s="5">
        <f>454.5+454.5</f>
        <v>909</v>
      </c>
      <c r="Z154" s="12">
        <f t="shared" si="2"/>
        <v>5959</v>
      </c>
      <c r="AA154" s="5">
        <v>340</v>
      </c>
    </row>
    <row r="155" spans="2:27" x14ac:dyDescent="0.25">
      <c r="B155" s="6" t="s">
        <v>39</v>
      </c>
      <c r="C155" s="17">
        <v>0.90972222222222221</v>
      </c>
      <c r="D155" s="11">
        <v>44499</v>
      </c>
      <c r="E155" s="5" t="s">
        <v>31</v>
      </c>
      <c r="F155" s="5">
        <v>6794</v>
      </c>
      <c r="G155" s="5">
        <v>2</v>
      </c>
      <c r="H155" s="5">
        <v>2</v>
      </c>
      <c r="J155" s="5">
        <v>2400</v>
      </c>
      <c r="K155" s="5">
        <v>1200</v>
      </c>
      <c r="X155" s="5">
        <v>1200</v>
      </c>
      <c r="Y155" s="5">
        <v>216</v>
      </c>
      <c r="Z155" s="12">
        <f t="shared" si="2"/>
        <v>1416</v>
      </c>
      <c r="AA155" s="5">
        <v>359</v>
      </c>
    </row>
    <row r="156" spans="2:27" x14ac:dyDescent="0.25">
      <c r="B156" s="6" t="s">
        <v>39</v>
      </c>
      <c r="C156" s="17">
        <v>0.90138888888888891</v>
      </c>
      <c r="D156" s="11">
        <v>44499</v>
      </c>
      <c r="E156" s="5" t="s">
        <v>31</v>
      </c>
      <c r="F156" s="5">
        <v>6793</v>
      </c>
      <c r="G156" s="5">
        <v>5</v>
      </c>
      <c r="H156" s="5">
        <v>5</v>
      </c>
      <c r="J156" s="5">
        <v>5300</v>
      </c>
      <c r="K156" s="5">
        <v>2650</v>
      </c>
      <c r="L156" s="5">
        <v>525</v>
      </c>
      <c r="M156" s="5">
        <v>262.5</v>
      </c>
      <c r="X156" s="5">
        <v>2912.5</v>
      </c>
      <c r="Y156" s="5">
        <f>262.13+262.13</f>
        <v>524.26</v>
      </c>
      <c r="Z156" s="12">
        <f t="shared" si="2"/>
        <v>3436.76</v>
      </c>
      <c r="AA156" s="5">
        <v>277</v>
      </c>
    </row>
    <row r="157" spans="2:27" x14ac:dyDescent="0.25">
      <c r="B157" s="6">
        <v>12522381</v>
      </c>
      <c r="C157" s="17">
        <v>0.58611111111111114</v>
      </c>
      <c r="D157" s="11">
        <v>44499</v>
      </c>
      <c r="E157" s="5" t="s">
        <v>31</v>
      </c>
      <c r="F157" s="5">
        <v>6771</v>
      </c>
      <c r="G157" s="5">
        <v>10</v>
      </c>
      <c r="H157" s="5">
        <v>10</v>
      </c>
      <c r="J157" s="5">
        <v>12990</v>
      </c>
      <c r="K157" s="5">
        <v>6495</v>
      </c>
      <c r="X157" s="5">
        <v>6495</v>
      </c>
      <c r="Y157" s="5">
        <f>584.55+584.55</f>
        <v>1169.0999999999999</v>
      </c>
      <c r="Z157" s="12">
        <f t="shared" si="2"/>
        <v>7664.1</v>
      </c>
      <c r="AA157" s="5">
        <v>277</v>
      </c>
    </row>
    <row r="158" spans="2:27" x14ac:dyDescent="0.25">
      <c r="B158" s="6">
        <v>12531421</v>
      </c>
      <c r="C158" s="17">
        <v>0.59930555555555554</v>
      </c>
      <c r="D158" s="11">
        <v>44499</v>
      </c>
      <c r="E158" s="5" t="s">
        <v>31</v>
      </c>
      <c r="F158" s="5">
        <v>3142</v>
      </c>
      <c r="G158" s="5">
        <v>1</v>
      </c>
      <c r="H158" s="5">
        <v>1</v>
      </c>
      <c r="P158" s="5">
        <v>360</v>
      </c>
      <c r="Q158" s="5">
        <v>60</v>
      </c>
      <c r="X158" s="5">
        <v>240</v>
      </c>
      <c r="Y158" s="5">
        <v>48</v>
      </c>
      <c r="Z158" s="12">
        <f t="shared" si="2"/>
        <v>288</v>
      </c>
      <c r="AA158" s="5">
        <v>277</v>
      </c>
    </row>
    <row r="159" spans="2:27" x14ac:dyDescent="0.25">
      <c r="B159" s="6" t="s">
        <v>27</v>
      </c>
      <c r="C159" s="17">
        <v>0.96458333333333324</v>
      </c>
      <c r="D159" s="11">
        <v>44499</v>
      </c>
      <c r="E159" s="5" t="s">
        <v>31</v>
      </c>
      <c r="F159" s="5">
        <v>6864</v>
      </c>
      <c r="G159" s="5">
        <v>7</v>
      </c>
      <c r="H159" s="5">
        <v>7</v>
      </c>
      <c r="J159" s="5">
        <v>8400</v>
      </c>
      <c r="K159" s="5">
        <v>4200</v>
      </c>
      <c r="X159" s="5">
        <v>4200</v>
      </c>
      <c r="Y159" s="5">
        <f>378+378</f>
        <v>756</v>
      </c>
      <c r="Z159" s="12">
        <f t="shared" si="2"/>
        <v>4956</v>
      </c>
      <c r="AA159" s="5">
        <v>763</v>
      </c>
    </row>
    <row r="160" spans="2:27" x14ac:dyDescent="0.25">
      <c r="B160" s="6" t="s">
        <v>27</v>
      </c>
      <c r="C160" s="17">
        <v>0.92083333333333339</v>
      </c>
      <c r="D160" s="11">
        <v>44500</v>
      </c>
      <c r="E160" s="5" t="s">
        <v>31</v>
      </c>
      <c r="F160" s="5">
        <v>6854</v>
      </c>
      <c r="G160" s="5">
        <v>2</v>
      </c>
      <c r="H160" s="5">
        <v>2</v>
      </c>
      <c r="J160" s="5">
        <v>2400</v>
      </c>
      <c r="K160" s="5">
        <v>1200</v>
      </c>
      <c r="X160" s="5">
        <v>1200</v>
      </c>
      <c r="Y160" s="5">
        <v>216</v>
      </c>
      <c r="Z160" s="12">
        <f t="shared" si="2"/>
        <v>1416</v>
      </c>
      <c r="AA160" s="5">
        <v>763</v>
      </c>
    </row>
    <row r="161" spans="2:27" x14ac:dyDescent="0.25">
      <c r="B161" s="6" t="s">
        <v>84</v>
      </c>
      <c r="C161" s="17">
        <v>0.60138888888888886</v>
      </c>
      <c r="D161" s="11">
        <v>44500</v>
      </c>
      <c r="E161" s="5" t="s">
        <v>31</v>
      </c>
      <c r="F161" s="5">
        <v>6821</v>
      </c>
      <c r="G161" s="5">
        <v>3</v>
      </c>
      <c r="H161" s="5">
        <v>3</v>
      </c>
      <c r="J161" s="5">
        <v>4497</v>
      </c>
      <c r="K161" s="5">
        <v>2323.5</v>
      </c>
      <c r="X161" s="5">
        <v>2323.5</v>
      </c>
      <c r="Y161" s="5">
        <f>209.12+209.12</f>
        <v>418.24</v>
      </c>
      <c r="Z161" s="12">
        <f t="shared" si="2"/>
        <v>2741.74</v>
      </c>
      <c r="AA161" s="5">
        <v>277</v>
      </c>
    </row>
    <row r="162" spans="2:27" x14ac:dyDescent="0.25">
      <c r="B162" s="6" t="s">
        <v>27</v>
      </c>
      <c r="C162" s="17">
        <v>0.5805555555555556</v>
      </c>
      <c r="D162" s="11">
        <v>44500</v>
      </c>
      <c r="E162" s="5" t="s">
        <v>31</v>
      </c>
      <c r="F162" s="5">
        <v>6817</v>
      </c>
      <c r="G162" s="5">
        <v>2</v>
      </c>
      <c r="H162" s="5">
        <v>2</v>
      </c>
      <c r="J162" s="5">
        <v>1350</v>
      </c>
      <c r="K162" s="5">
        <v>675</v>
      </c>
      <c r="X162" s="5">
        <v>675</v>
      </c>
      <c r="Y162" s="5">
        <f>60.75+60.75</f>
        <v>121.5</v>
      </c>
      <c r="Z162" s="12">
        <f t="shared" si="2"/>
        <v>796.5</v>
      </c>
      <c r="AA162" s="5">
        <v>277</v>
      </c>
    </row>
    <row r="163" spans="2:27" x14ac:dyDescent="0.25">
      <c r="B163" s="6" t="s">
        <v>85</v>
      </c>
      <c r="C163" s="17">
        <v>0.93611111111111101</v>
      </c>
      <c r="D163" s="11">
        <v>44501</v>
      </c>
      <c r="E163" s="5" t="s">
        <v>55</v>
      </c>
      <c r="F163" s="5">
        <v>3159</v>
      </c>
      <c r="G163" s="5">
        <v>2</v>
      </c>
      <c r="H163" s="5">
        <v>2</v>
      </c>
      <c r="P163" s="5">
        <v>1450</v>
      </c>
      <c r="Q163" s="5">
        <v>290</v>
      </c>
      <c r="X163" s="5">
        <v>1160</v>
      </c>
      <c r="Y163" s="5">
        <v>232</v>
      </c>
      <c r="Z163" s="12">
        <f t="shared" si="2"/>
        <v>1392</v>
      </c>
      <c r="AA163" s="5">
        <v>277</v>
      </c>
    </row>
    <row r="164" spans="2:27" x14ac:dyDescent="0.25">
      <c r="B164" s="6" t="s">
        <v>85</v>
      </c>
      <c r="C164" s="17">
        <v>0.84583333333333333</v>
      </c>
      <c r="D164" s="11">
        <v>44501</v>
      </c>
      <c r="E164" s="5" t="s">
        <v>55</v>
      </c>
      <c r="F164" s="5">
        <v>3156</v>
      </c>
      <c r="G164" s="5">
        <v>1</v>
      </c>
      <c r="H164" s="5">
        <v>1</v>
      </c>
      <c r="P164" s="5">
        <v>4250</v>
      </c>
      <c r="Q164" s="5">
        <v>650</v>
      </c>
      <c r="X164" s="5">
        <v>3700</v>
      </c>
      <c r="Y164" s="5">
        <v>740</v>
      </c>
      <c r="Z164" s="12">
        <f t="shared" si="2"/>
        <v>4440</v>
      </c>
      <c r="AA164" s="5">
        <v>363</v>
      </c>
    </row>
    <row r="165" spans="2:27" x14ac:dyDescent="0.25">
      <c r="B165" s="6">
        <v>12690711</v>
      </c>
      <c r="C165" s="17">
        <v>0.92708333333333337</v>
      </c>
      <c r="D165" s="11">
        <v>44501</v>
      </c>
      <c r="E165" s="5" t="s">
        <v>31</v>
      </c>
      <c r="F165" s="5">
        <v>6893</v>
      </c>
      <c r="G165" s="5">
        <v>2</v>
      </c>
      <c r="H165" s="5">
        <v>2</v>
      </c>
      <c r="J165" s="5">
        <v>2900</v>
      </c>
      <c r="K165" s="5">
        <v>957</v>
      </c>
      <c r="X165" s="5">
        <v>1943</v>
      </c>
      <c r="Y165" s="5">
        <f>174.87+174.87</f>
        <v>349.74</v>
      </c>
      <c r="Z165" s="12">
        <f t="shared" si="2"/>
        <v>2292.7399999999998</v>
      </c>
      <c r="AA165" s="5">
        <v>363</v>
      </c>
    </row>
    <row r="166" spans="2:27" x14ac:dyDescent="0.25">
      <c r="B166" s="6" t="s">
        <v>86</v>
      </c>
      <c r="C166" s="17">
        <v>0.9243055555555556</v>
      </c>
      <c r="D166" s="11">
        <v>44501</v>
      </c>
      <c r="E166" s="5" t="s">
        <v>31</v>
      </c>
      <c r="F166" s="5">
        <v>6892</v>
      </c>
      <c r="G166" s="5">
        <v>7</v>
      </c>
      <c r="H166" s="5">
        <v>7</v>
      </c>
      <c r="J166" s="5">
        <v>8400</v>
      </c>
      <c r="K166" s="5">
        <v>4200</v>
      </c>
      <c r="X166" s="5">
        <v>4200</v>
      </c>
      <c r="Y166" s="5">
        <f>378+378</f>
        <v>756</v>
      </c>
      <c r="Z166" s="12">
        <f t="shared" si="2"/>
        <v>4956</v>
      </c>
      <c r="AA166" s="5">
        <v>363</v>
      </c>
    </row>
    <row r="167" spans="2:27" x14ac:dyDescent="0.25">
      <c r="B167" s="6" t="s">
        <v>87</v>
      </c>
      <c r="C167" s="17">
        <v>0.86944444444444446</v>
      </c>
      <c r="D167" s="11">
        <v>44501</v>
      </c>
      <c r="E167" s="5" t="s">
        <v>31</v>
      </c>
      <c r="F167" s="5">
        <v>6887</v>
      </c>
      <c r="G167" s="5">
        <v>7</v>
      </c>
      <c r="H167" s="5">
        <v>7</v>
      </c>
      <c r="J167" s="5">
        <v>10200</v>
      </c>
      <c r="K167" s="5">
        <v>5100</v>
      </c>
      <c r="X167" s="5">
        <v>5100</v>
      </c>
      <c r="Y167" s="5">
        <f>459+459</f>
        <v>918</v>
      </c>
      <c r="Z167" s="12">
        <f t="shared" si="2"/>
        <v>6018</v>
      </c>
      <c r="AA167" s="5">
        <v>763</v>
      </c>
    </row>
    <row r="168" spans="2:27" x14ac:dyDescent="0.25">
      <c r="B168" s="6">
        <v>14323221</v>
      </c>
      <c r="C168" s="17">
        <v>0.84513888888888899</v>
      </c>
      <c r="D168" s="11">
        <v>44502</v>
      </c>
      <c r="E168" s="5" t="s">
        <v>31</v>
      </c>
      <c r="F168" s="5">
        <v>6925</v>
      </c>
      <c r="G168" s="5">
        <v>2</v>
      </c>
      <c r="H168" s="5">
        <v>2</v>
      </c>
      <c r="J168" s="5">
        <v>1050</v>
      </c>
      <c r="K168" s="5">
        <v>525</v>
      </c>
      <c r="X168" s="5">
        <v>525</v>
      </c>
      <c r="Y168" s="5">
        <f>47.25+47.25</f>
        <v>94.5</v>
      </c>
      <c r="Z168" s="12">
        <f t="shared" si="2"/>
        <v>619.5</v>
      </c>
      <c r="AA168" s="5">
        <v>763</v>
      </c>
    </row>
    <row r="169" spans="2:27" x14ac:dyDescent="0.25">
      <c r="B169" s="6" t="s">
        <v>88</v>
      </c>
      <c r="C169" s="17">
        <v>0.59930555555555554</v>
      </c>
      <c r="D169" s="11">
        <v>44502</v>
      </c>
      <c r="E169" s="5" t="s">
        <v>31</v>
      </c>
      <c r="F169" s="5">
        <v>6910</v>
      </c>
      <c r="G169" s="5">
        <v>5</v>
      </c>
      <c r="H169" s="5">
        <v>5</v>
      </c>
      <c r="J169" s="5">
        <v>5000</v>
      </c>
      <c r="K169" s="5">
        <v>2500</v>
      </c>
      <c r="X169" s="5">
        <v>2500</v>
      </c>
      <c r="Y169" s="5">
        <v>450</v>
      </c>
      <c r="Z169" s="12">
        <f t="shared" si="2"/>
        <v>2950</v>
      </c>
      <c r="AA169" s="5">
        <v>330</v>
      </c>
    </row>
    <row r="170" spans="2:27" x14ac:dyDescent="0.25">
      <c r="B170" s="6" t="s">
        <v>89</v>
      </c>
      <c r="C170" s="17">
        <v>0.59861111111111109</v>
      </c>
      <c r="D170" s="11">
        <v>44502</v>
      </c>
      <c r="E170" s="5" t="s">
        <v>31</v>
      </c>
      <c r="F170" s="5">
        <v>6909</v>
      </c>
      <c r="G170" s="5">
        <v>6</v>
      </c>
      <c r="H170" s="5">
        <v>6</v>
      </c>
      <c r="J170" s="5">
        <v>6000</v>
      </c>
      <c r="K170" s="5">
        <v>3000</v>
      </c>
      <c r="X170" s="5">
        <v>3000</v>
      </c>
      <c r="Y170" s="5">
        <v>540</v>
      </c>
      <c r="Z170" s="12">
        <f t="shared" si="2"/>
        <v>3540</v>
      </c>
      <c r="AA170" s="5">
        <v>330</v>
      </c>
    </row>
    <row r="171" spans="2:27" x14ac:dyDescent="0.25">
      <c r="B171" s="6">
        <v>12177981</v>
      </c>
      <c r="C171" s="17">
        <v>0.59861111111111109</v>
      </c>
      <c r="D171" s="11">
        <v>44502</v>
      </c>
      <c r="E171" s="5" t="s">
        <v>31</v>
      </c>
      <c r="F171" s="5">
        <v>6908</v>
      </c>
      <c r="G171" s="5">
        <v>6</v>
      </c>
      <c r="H171" s="5">
        <v>6</v>
      </c>
      <c r="J171" s="5">
        <v>6000</v>
      </c>
      <c r="K171" s="5">
        <v>3000</v>
      </c>
      <c r="X171" s="5">
        <v>3000</v>
      </c>
      <c r="Y171" s="5">
        <v>540</v>
      </c>
      <c r="Z171" s="12">
        <f t="shared" si="2"/>
        <v>3540</v>
      </c>
      <c r="AA171" s="5">
        <v>330</v>
      </c>
    </row>
    <row r="172" spans="2:27" x14ac:dyDescent="0.25">
      <c r="B172" s="6">
        <v>12813361</v>
      </c>
      <c r="C172" s="17">
        <v>0.59027777777777779</v>
      </c>
      <c r="D172" s="11">
        <v>44502</v>
      </c>
      <c r="E172" s="5" t="s">
        <v>31</v>
      </c>
      <c r="F172" s="5">
        <v>6906</v>
      </c>
      <c r="G172" s="5">
        <v>4</v>
      </c>
      <c r="H172" s="5">
        <v>4</v>
      </c>
      <c r="J172" s="5">
        <f>K172*5</f>
        <v>3050</v>
      </c>
      <c r="K172" s="5">
        <v>610</v>
      </c>
      <c r="X172" s="5">
        <v>2440</v>
      </c>
      <c r="Y172" s="5">
        <f>219.6+219.6</f>
        <v>439.2</v>
      </c>
      <c r="Z172" s="12">
        <f t="shared" si="2"/>
        <v>2879.2</v>
      </c>
      <c r="AA172" s="5">
        <v>330</v>
      </c>
    </row>
    <row r="173" spans="2:27" x14ac:dyDescent="0.25">
      <c r="B173" s="6">
        <v>12813361</v>
      </c>
      <c r="C173" s="17">
        <v>0.95138888888888884</v>
      </c>
      <c r="D173" s="11">
        <v>44503</v>
      </c>
      <c r="E173" s="5" t="s">
        <v>31</v>
      </c>
      <c r="F173" s="5">
        <v>6949</v>
      </c>
      <c r="G173" s="5">
        <v>9</v>
      </c>
      <c r="H173" s="5">
        <v>9</v>
      </c>
      <c r="J173" s="5">
        <v>10800</v>
      </c>
      <c r="K173" s="5">
        <v>5400</v>
      </c>
      <c r="X173" s="5">
        <v>5400</v>
      </c>
      <c r="Y173" s="5">
        <f>486+486</f>
        <v>972</v>
      </c>
      <c r="Z173" s="12">
        <f t="shared" si="2"/>
        <v>6372</v>
      </c>
      <c r="AA173" s="5">
        <v>277</v>
      </c>
    </row>
    <row r="174" spans="2:27" x14ac:dyDescent="0.25">
      <c r="B174" s="6">
        <v>12690711</v>
      </c>
      <c r="C174" s="17">
        <v>0.93680555555555556</v>
      </c>
      <c r="D174" s="11">
        <v>44503</v>
      </c>
      <c r="E174" s="5" t="s">
        <v>31</v>
      </c>
      <c r="F174" s="5">
        <v>6948</v>
      </c>
      <c r="G174" s="5">
        <v>3</v>
      </c>
      <c r="H174" s="5">
        <v>3</v>
      </c>
      <c r="J174" s="5">
        <f>600+550+675</f>
        <v>1825</v>
      </c>
      <c r="K174" s="5">
        <v>602.25</v>
      </c>
      <c r="X174" s="5">
        <v>1222.75</v>
      </c>
      <c r="Y174" s="5">
        <f>220.1</f>
        <v>220.1</v>
      </c>
      <c r="Z174" s="12">
        <f t="shared" si="2"/>
        <v>1442.85</v>
      </c>
      <c r="AA174" s="5">
        <v>277</v>
      </c>
    </row>
    <row r="175" spans="2:27" x14ac:dyDescent="0.25">
      <c r="B175" s="6">
        <v>12813361</v>
      </c>
      <c r="C175" s="17">
        <v>0.92499999999999993</v>
      </c>
      <c r="D175" s="11">
        <v>44503</v>
      </c>
      <c r="E175" s="5" t="s">
        <v>31</v>
      </c>
      <c r="F175" s="5">
        <v>6949</v>
      </c>
      <c r="G175" s="5">
        <v>9</v>
      </c>
      <c r="H175" s="5">
        <v>9</v>
      </c>
      <c r="J175" s="5">
        <v>10800</v>
      </c>
      <c r="K175" s="5">
        <v>5400</v>
      </c>
      <c r="L175" s="5">
        <v>1050</v>
      </c>
      <c r="M175" s="5">
        <v>210</v>
      </c>
      <c r="X175" s="5">
        <v>62420</v>
      </c>
      <c r="Y175" s="5">
        <f>561.6+561.6</f>
        <v>1123.2</v>
      </c>
      <c r="Z175" s="12">
        <f t="shared" si="2"/>
        <v>63543.199999999997</v>
      </c>
      <c r="AA175" s="5">
        <v>277</v>
      </c>
    </row>
    <row r="176" spans="2:27" x14ac:dyDescent="0.25">
      <c r="B176" s="6">
        <v>12398311</v>
      </c>
      <c r="C176" s="17">
        <v>0.56388888888888888</v>
      </c>
      <c r="D176" s="11">
        <v>44504</v>
      </c>
      <c r="E176" s="5" t="s">
        <v>31</v>
      </c>
      <c r="F176" s="5">
        <v>6954</v>
      </c>
      <c r="G176" s="5">
        <v>2</v>
      </c>
      <c r="H176" s="5">
        <v>2</v>
      </c>
      <c r="J176" s="5">
        <v>2000</v>
      </c>
      <c r="K176" s="5">
        <v>1000</v>
      </c>
      <c r="X176" s="5">
        <v>1000</v>
      </c>
      <c r="Y176" s="5">
        <v>180</v>
      </c>
      <c r="Z176" s="12">
        <f t="shared" si="2"/>
        <v>1180</v>
      </c>
      <c r="AA176" s="5">
        <v>277</v>
      </c>
    </row>
    <row r="177" spans="2:27" x14ac:dyDescent="0.25">
      <c r="B177" s="6" t="s">
        <v>90</v>
      </c>
      <c r="C177" s="17">
        <v>0.8305555555555556</v>
      </c>
      <c r="D177" s="11">
        <v>44504</v>
      </c>
      <c r="E177" s="5" t="s">
        <v>31</v>
      </c>
      <c r="F177" s="5">
        <v>6974</v>
      </c>
      <c r="G177" s="5">
        <v>10</v>
      </c>
      <c r="H177" s="5">
        <v>10</v>
      </c>
      <c r="J177" s="5">
        <v>12000</v>
      </c>
      <c r="K177" s="5">
        <v>6625</v>
      </c>
      <c r="X177" s="5">
        <v>5375</v>
      </c>
      <c r="Y177" s="5">
        <f>540+540</f>
        <v>1080</v>
      </c>
      <c r="Z177" s="12">
        <f t="shared" si="2"/>
        <v>6455</v>
      </c>
      <c r="AA177" s="5">
        <v>277</v>
      </c>
    </row>
    <row r="178" spans="2:27" x14ac:dyDescent="0.25">
      <c r="B178" s="6">
        <v>14323221</v>
      </c>
      <c r="C178" s="17">
        <v>0.8305555555555556</v>
      </c>
      <c r="D178" s="11">
        <v>44504</v>
      </c>
      <c r="E178" s="5" t="s">
        <v>31</v>
      </c>
      <c r="F178" s="5">
        <v>6978</v>
      </c>
      <c r="G178" s="5">
        <v>2</v>
      </c>
      <c r="H178" s="5">
        <v>2</v>
      </c>
      <c r="J178" s="5">
        <f>K178*5</f>
        <v>6050</v>
      </c>
      <c r="K178" s="5">
        <v>1210</v>
      </c>
      <c r="L178" s="5">
        <f>M178*5</f>
        <v>350</v>
      </c>
      <c r="M178" s="5">
        <v>70</v>
      </c>
      <c r="X178" s="5">
        <v>5120</v>
      </c>
      <c r="Y178" s="5">
        <f>460.8+460.8</f>
        <v>921.6</v>
      </c>
      <c r="Z178" s="12">
        <f t="shared" si="2"/>
        <v>6041.6</v>
      </c>
      <c r="AA178" s="5">
        <v>277</v>
      </c>
    </row>
    <row r="179" spans="2:27" x14ac:dyDescent="0.25">
      <c r="B179" s="6">
        <v>14323221</v>
      </c>
      <c r="C179" s="17">
        <v>0.73333333333333339</v>
      </c>
      <c r="D179" s="11">
        <v>44505</v>
      </c>
      <c r="E179" s="5" t="s">
        <v>31</v>
      </c>
      <c r="F179" s="5">
        <v>6018</v>
      </c>
      <c r="G179" s="5">
        <v>1</v>
      </c>
      <c r="H179" s="5">
        <v>1</v>
      </c>
      <c r="J179" s="5">
        <v>250</v>
      </c>
      <c r="K179" s="5">
        <v>50</v>
      </c>
      <c r="X179" s="5">
        <v>200</v>
      </c>
      <c r="Y179" s="5">
        <v>36</v>
      </c>
      <c r="Z179" s="12">
        <f t="shared" si="2"/>
        <v>236</v>
      </c>
      <c r="AA179" s="5">
        <v>730</v>
      </c>
    </row>
    <row r="180" spans="2:27" x14ac:dyDescent="0.25">
      <c r="B180" s="6">
        <v>14375151</v>
      </c>
      <c r="C180" s="17">
        <v>0.59166666666666667</v>
      </c>
      <c r="D180" s="11">
        <v>44505</v>
      </c>
      <c r="E180" s="5" t="s">
        <v>31</v>
      </c>
      <c r="F180" s="5">
        <v>6004</v>
      </c>
      <c r="G180" s="5">
        <v>4</v>
      </c>
      <c r="H180" s="5">
        <v>4</v>
      </c>
      <c r="J180" s="5">
        <v>3996</v>
      </c>
      <c r="K180" s="5">
        <v>1998</v>
      </c>
      <c r="X180" s="5">
        <v>1998</v>
      </c>
      <c r="Y180" s="5">
        <f>179.82+179.82</f>
        <v>359.64</v>
      </c>
      <c r="Z180" s="12">
        <f t="shared" si="2"/>
        <v>2357.64</v>
      </c>
      <c r="AA180" s="5">
        <v>330</v>
      </c>
    </row>
    <row r="181" spans="2:27" x14ac:dyDescent="0.25">
      <c r="B181" s="6">
        <v>14323221</v>
      </c>
      <c r="C181" s="17">
        <v>0.74444444444444446</v>
      </c>
      <c r="D181" s="11">
        <v>44506</v>
      </c>
      <c r="E181" s="5" t="s">
        <v>31</v>
      </c>
      <c r="F181" s="5">
        <v>6057</v>
      </c>
      <c r="G181" s="5">
        <v>1</v>
      </c>
      <c r="H181" s="5">
        <v>1</v>
      </c>
      <c r="J181" s="5">
        <v>675</v>
      </c>
      <c r="K181" s="5">
        <v>135</v>
      </c>
      <c r="X181" s="5">
        <v>540</v>
      </c>
      <c r="Y181" s="5">
        <f>48.6+48.6</f>
        <v>97.2</v>
      </c>
      <c r="Z181" s="12">
        <f t="shared" si="2"/>
        <v>637.20000000000005</v>
      </c>
      <c r="AA181" s="5">
        <v>277</v>
      </c>
    </row>
    <row r="182" spans="2:27" x14ac:dyDescent="0.25">
      <c r="B182" s="6">
        <v>14719981</v>
      </c>
      <c r="C182" s="17">
        <v>7.0833333333333331E-2</v>
      </c>
      <c r="D182" s="11">
        <v>44506</v>
      </c>
      <c r="E182" s="5" t="s">
        <v>31</v>
      </c>
      <c r="F182" s="5">
        <v>6040</v>
      </c>
      <c r="G182" s="5">
        <v>2</v>
      </c>
      <c r="H182" s="5">
        <v>2</v>
      </c>
      <c r="J182" s="5">
        <v>1398</v>
      </c>
      <c r="K182" s="5">
        <v>699</v>
      </c>
      <c r="X182" s="5">
        <v>699</v>
      </c>
      <c r="Y182" s="5">
        <f>62.91+62.91</f>
        <v>125.82</v>
      </c>
      <c r="Z182" s="12">
        <f t="shared" si="2"/>
        <v>824.81999999999994</v>
      </c>
      <c r="AA182" s="5">
        <v>277</v>
      </c>
    </row>
    <row r="183" spans="2:27" x14ac:dyDescent="0.25">
      <c r="B183" s="6">
        <v>12177981</v>
      </c>
      <c r="C183" s="17">
        <v>0.80625000000000002</v>
      </c>
      <c r="D183" s="11">
        <v>44507</v>
      </c>
      <c r="E183" s="5" t="s">
        <v>55</v>
      </c>
      <c r="F183" s="5">
        <v>3212</v>
      </c>
      <c r="G183" s="5">
        <v>2</v>
      </c>
      <c r="H183" s="5">
        <v>2</v>
      </c>
      <c r="P183" s="5">
        <v>1200</v>
      </c>
      <c r="Q183" s="5">
        <v>600</v>
      </c>
      <c r="X183" s="5">
        <v>600</v>
      </c>
      <c r="Y183" s="5">
        <v>120</v>
      </c>
      <c r="Z183" s="12">
        <f t="shared" si="2"/>
        <v>720</v>
      </c>
      <c r="AA183" s="5">
        <v>277</v>
      </c>
    </row>
    <row r="184" spans="2:27" x14ac:dyDescent="0.25">
      <c r="B184" s="6" t="s">
        <v>91</v>
      </c>
      <c r="C184" s="17">
        <v>0.90486111111111101</v>
      </c>
      <c r="D184" s="11">
        <v>44507</v>
      </c>
      <c r="E184" s="5" t="s">
        <v>31</v>
      </c>
      <c r="F184" s="5">
        <v>6109</v>
      </c>
      <c r="G184" s="5">
        <v>9</v>
      </c>
      <c r="H184" s="5">
        <v>9</v>
      </c>
      <c r="J184" s="5">
        <v>10800</v>
      </c>
      <c r="K184" s="5">
        <v>5400</v>
      </c>
      <c r="X184" s="5">
        <v>5400</v>
      </c>
      <c r="Y184" s="5">
        <f>486+486</f>
        <v>972</v>
      </c>
      <c r="Z184" s="12">
        <f t="shared" si="2"/>
        <v>6372</v>
      </c>
      <c r="AA184" s="5">
        <v>277</v>
      </c>
    </row>
    <row r="185" spans="2:27" x14ac:dyDescent="0.25">
      <c r="B185" s="6" t="s">
        <v>92</v>
      </c>
      <c r="C185" s="17">
        <v>0.90416666666666667</v>
      </c>
      <c r="D185" s="11">
        <v>44507</v>
      </c>
      <c r="E185" s="5" t="s">
        <v>31</v>
      </c>
      <c r="F185" s="5">
        <v>6108</v>
      </c>
      <c r="G185" s="5">
        <v>10</v>
      </c>
      <c r="H185" s="5">
        <v>10</v>
      </c>
      <c r="J185" s="5">
        <v>12000</v>
      </c>
      <c r="K185" s="5">
        <v>6000</v>
      </c>
      <c r="X185" s="5">
        <v>6000</v>
      </c>
      <c r="Y185" s="5">
        <v>1080</v>
      </c>
      <c r="Z185" s="12">
        <f t="shared" si="2"/>
        <v>7080</v>
      </c>
      <c r="AA185" s="5">
        <v>277</v>
      </c>
    </row>
    <row r="186" spans="2:27" x14ac:dyDescent="0.25">
      <c r="B186" s="6" t="s">
        <v>93</v>
      </c>
      <c r="C186" s="17">
        <v>0.90069444444444446</v>
      </c>
      <c r="D186" s="11">
        <v>44507</v>
      </c>
      <c r="E186" s="5" t="s">
        <v>31</v>
      </c>
      <c r="F186" s="5">
        <v>6107</v>
      </c>
      <c r="G186" s="5">
        <v>6</v>
      </c>
      <c r="H186" s="5">
        <v>6</v>
      </c>
      <c r="J186" s="5">
        <v>7200</v>
      </c>
      <c r="K186" s="5">
        <v>3600</v>
      </c>
      <c r="X186" s="5">
        <v>3600</v>
      </c>
      <c r="Y186" s="5">
        <f>324+324</f>
        <v>648</v>
      </c>
      <c r="Z186" s="12">
        <f t="shared" si="2"/>
        <v>4248</v>
      </c>
      <c r="AA186" s="5">
        <v>277</v>
      </c>
    </row>
    <row r="187" spans="2:27" x14ac:dyDescent="0.25">
      <c r="B187" s="6" t="s">
        <v>94</v>
      </c>
      <c r="C187" s="17">
        <v>0.89583333333333337</v>
      </c>
      <c r="D187" s="11">
        <v>44507</v>
      </c>
      <c r="E187" s="5" t="s">
        <v>31</v>
      </c>
      <c r="F187" s="5">
        <v>6106</v>
      </c>
      <c r="G187" s="5">
        <v>5</v>
      </c>
      <c r="H187" s="5">
        <v>5</v>
      </c>
      <c r="J187" s="5">
        <v>6000</v>
      </c>
      <c r="K187" s="5">
        <v>3000</v>
      </c>
      <c r="X187" s="5">
        <v>3000</v>
      </c>
      <c r="Y187" s="5">
        <v>540</v>
      </c>
      <c r="Z187" s="12">
        <f t="shared" si="2"/>
        <v>3540</v>
      </c>
      <c r="AA187" s="5">
        <v>277</v>
      </c>
    </row>
    <row r="188" spans="2:27" x14ac:dyDescent="0.25">
      <c r="B188" s="6" t="s">
        <v>95</v>
      </c>
      <c r="C188" s="17">
        <v>0.80625000000000002</v>
      </c>
      <c r="D188" s="11">
        <v>44507</v>
      </c>
      <c r="E188" s="5" t="s">
        <v>31</v>
      </c>
      <c r="F188" s="5">
        <v>6099</v>
      </c>
      <c r="G188" s="5">
        <v>6</v>
      </c>
      <c r="H188" s="5">
        <v>6</v>
      </c>
      <c r="J188" s="5">
        <v>7200</v>
      </c>
      <c r="K188" s="5">
        <v>3600</v>
      </c>
      <c r="L188" s="5">
        <v>1400</v>
      </c>
      <c r="M188" s="5">
        <v>280</v>
      </c>
      <c r="X188" s="5">
        <v>4720</v>
      </c>
      <c r="Y188" s="5">
        <f>424.8+424.8</f>
        <v>849.6</v>
      </c>
      <c r="Z188" s="12">
        <f t="shared" si="2"/>
        <v>5569.6</v>
      </c>
      <c r="AA188" s="5">
        <v>277</v>
      </c>
    </row>
    <row r="189" spans="2:27" x14ac:dyDescent="0.25">
      <c r="B189" s="6">
        <v>12441031</v>
      </c>
      <c r="C189" s="17">
        <v>0.80902777777777779</v>
      </c>
      <c r="D189" s="11">
        <v>44508</v>
      </c>
      <c r="E189" s="5" t="s">
        <v>31</v>
      </c>
      <c r="F189" s="5">
        <v>6123</v>
      </c>
      <c r="G189" s="5">
        <v>2</v>
      </c>
      <c r="H189" s="5">
        <v>2</v>
      </c>
      <c r="J189" s="5">
        <v>425</v>
      </c>
      <c r="K189" s="5">
        <v>212.5</v>
      </c>
      <c r="X189" s="5">
        <v>212.5</v>
      </c>
      <c r="Y189" s="5">
        <f>19.13+19.13</f>
        <v>38.26</v>
      </c>
      <c r="Z189" s="12">
        <f t="shared" si="2"/>
        <v>250.76</v>
      </c>
      <c r="AA189" s="5">
        <v>277</v>
      </c>
    </row>
    <row r="190" spans="2:27" x14ac:dyDescent="0.25">
      <c r="B190" s="6">
        <v>14000000</v>
      </c>
      <c r="C190" s="17">
        <v>0.91666666666666663</v>
      </c>
      <c r="D190" s="11">
        <v>44510</v>
      </c>
      <c r="E190" s="5" t="s">
        <v>31</v>
      </c>
      <c r="F190" s="5">
        <v>6185</v>
      </c>
      <c r="G190" s="5">
        <v>2</v>
      </c>
      <c r="H190" s="5">
        <v>2</v>
      </c>
      <c r="J190" s="5">
        <v>2400</v>
      </c>
      <c r="K190" s="5">
        <v>1200</v>
      </c>
      <c r="X190" s="5">
        <v>1200</v>
      </c>
      <c r="Y190" s="5">
        <v>216</v>
      </c>
      <c r="Z190" s="12">
        <f t="shared" si="2"/>
        <v>1416</v>
      </c>
      <c r="AA190" s="5">
        <v>277</v>
      </c>
    </row>
    <row r="191" spans="2:27" x14ac:dyDescent="0.25">
      <c r="B191" s="6">
        <v>14832441</v>
      </c>
      <c r="C191" s="17">
        <v>0.55625000000000002</v>
      </c>
      <c r="D191" s="11">
        <v>44511</v>
      </c>
      <c r="E191" s="5" t="s">
        <v>31</v>
      </c>
      <c r="F191" s="5">
        <v>6201</v>
      </c>
      <c r="G191" s="5">
        <v>5</v>
      </c>
      <c r="H191" s="5">
        <v>5</v>
      </c>
      <c r="J191" s="5">
        <f>K191*5</f>
        <v>5625</v>
      </c>
      <c r="K191" s="5">
        <v>1125</v>
      </c>
      <c r="X191" s="5">
        <v>3300</v>
      </c>
      <c r="Y191" s="5">
        <f>297+297</f>
        <v>594</v>
      </c>
      <c r="Z191" s="12">
        <f t="shared" si="2"/>
        <v>3894</v>
      </c>
      <c r="AA191" s="5">
        <v>277</v>
      </c>
    </row>
    <row r="192" spans="2:27" x14ac:dyDescent="0.25">
      <c r="B192" s="6">
        <v>12305701</v>
      </c>
      <c r="C192" s="17">
        <v>0.84444444444444444</v>
      </c>
      <c r="D192" s="11">
        <v>44512</v>
      </c>
      <c r="E192" s="5" t="s">
        <v>31</v>
      </c>
      <c r="F192" s="5">
        <v>3248</v>
      </c>
      <c r="G192" s="5">
        <v>2</v>
      </c>
      <c r="H192" s="5">
        <v>2</v>
      </c>
      <c r="P192" s="5">
        <f>Q192*5</f>
        <v>2500</v>
      </c>
      <c r="Q192" s="5">
        <v>500</v>
      </c>
      <c r="X192" s="5">
        <v>2000</v>
      </c>
      <c r="Y192" s="5">
        <v>400</v>
      </c>
      <c r="Z192" s="12">
        <f t="shared" si="2"/>
        <v>2400</v>
      </c>
      <c r="AA192" s="5">
        <v>277</v>
      </c>
    </row>
    <row r="193" spans="2:27" x14ac:dyDescent="0.25">
      <c r="B193" s="6">
        <v>12305701</v>
      </c>
      <c r="C193" s="17">
        <v>0.88402777777777775</v>
      </c>
      <c r="D193" s="11">
        <v>44512</v>
      </c>
      <c r="E193" s="5" t="s">
        <v>31</v>
      </c>
      <c r="F193" s="5">
        <v>3252</v>
      </c>
      <c r="G193" s="5">
        <v>1</v>
      </c>
      <c r="H193" s="5">
        <v>1</v>
      </c>
      <c r="P193" s="5">
        <v>400</v>
      </c>
      <c r="Q193" s="5">
        <v>80</v>
      </c>
      <c r="X193" s="5">
        <v>320</v>
      </c>
      <c r="Y193" s="5">
        <v>64</v>
      </c>
      <c r="Z193" s="12">
        <f t="shared" si="2"/>
        <v>384</v>
      </c>
      <c r="AA193" s="5">
        <v>277</v>
      </c>
    </row>
    <row r="194" spans="2:27" x14ac:dyDescent="0.25">
      <c r="B194" s="6">
        <v>14756051</v>
      </c>
      <c r="C194" s="17">
        <v>0.84375</v>
      </c>
      <c r="D194" s="11">
        <v>44512</v>
      </c>
      <c r="E194" s="5" t="s">
        <v>31</v>
      </c>
      <c r="F194" s="5">
        <v>6246</v>
      </c>
      <c r="G194" s="5">
        <v>2</v>
      </c>
      <c r="H194" s="5">
        <v>2</v>
      </c>
      <c r="J194" s="5">
        <v>925</v>
      </c>
      <c r="K194" s="5">
        <v>462.5</v>
      </c>
      <c r="X194" s="5">
        <v>462.5</v>
      </c>
      <c r="Y194" s="5">
        <f>41.63+41.63</f>
        <v>83.26</v>
      </c>
      <c r="Z194" s="12">
        <f t="shared" si="2"/>
        <v>545.76</v>
      </c>
      <c r="AA194" s="5">
        <v>277</v>
      </c>
    </row>
    <row r="195" spans="2:27" x14ac:dyDescent="0.25">
      <c r="B195" s="6">
        <v>12145251</v>
      </c>
      <c r="C195" s="17">
        <v>0.84930555555555554</v>
      </c>
      <c r="D195" s="11">
        <v>44514</v>
      </c>
      <c r="E195" s="5" t="s">
        <v>55</v>
      </c>
      <c r="F195" s="5">
        <v>3271</v>
      </c>
      <c r="G195" s="5">
        <v>1</v>
      </c>
      <c r="H195" s="5">
        <v>1</v>
      </c>
      <c r="P195" s="5">
        <v>1350</v>
      </c>
      <c r="Q195" s="5">
        <v>270</v>
      </c>
      <c r="X195" s="5">
        <v>1080</v>
      </c>
      <c r="Y195" s="5">
        <v>216</v>
      </c>
      <c r="Z195" s="12">
        <f t="shared" si="2"/>
        <v>1296</v>
      </c>
      <c r="AA195" s="5">
        <v>277</v>
      </c>
    </row>
    <row r="196" spans="2:27" x14ac:dyDescent="0.25">
      <c r="B196" s="6">
        <v>12145251</v>
      </c>
      <c r="C196" s="17">
        <v>0.89861111111111114</v>
      </c>
      <c r="D196" s="11">
        <v>44514</v>
      </c>
      <c r="E196" s="5" t="s">
        <v>31</v>
      </c>
      <c r="F196" s="5">
        <v>6341</v>
      </c>
      <c r="G196" s="5">
        <v>4</v>
      </c>
      <c r="H196" s="5">
        <v>4</v>
      </c>
      <c r="J196" s="5">
        <v>4800</v>
      </c>
      <c r="K196" s="5">
        <v>1200</v>
      </c>
      <c r="X196" s="5">
        <v>3600</v>
      </c>
      <c r="Y196" s="5">
        <v>648</v>
      </c>
      <c r="Z196" s="12">
        <f t="shared" si="2"/>
        <v>4248</v>
      </c>
      <c r="AA196" s="5">
        <v>277</v>
      </c>
    </row>
    <row r="197" spans="2:27" x14ac:dyDescent="0.25">
      <c r="B197" s="6">
        <v>12328501</v>
      </c>
      <c r="C197" s="17">
        <v>0.625</v>
      </c>
      <c r="D197" s="11">
        <v>44514</v>
      </c>
      <c r="E197" s="5" t="s">
        <v>31</v>
      </c>
      <c r="F197" s="5">
        <v>6325</v>
      </c>
      <c r="G197" s="5">
        <v>1</v>
      </c>
      <c r="H197" s="5">
        <v>1</v>
      </c>
      <c r="J197" s="5">
        <v>1499</v>
      </c>
      <c r="K197" s="5">
        <v>299.8</v>
      </c>
      <c r="X197" s="5">
        <v>1199.2</v>
      </c>
      <c r="Y197" s="5">
        <f>107.93+107.93</f>
        <v>215.86</v>
      </c>
      <c r="Z197" s="12">
        <f t="shared" si="2"/>
        <v>1415.06</v>
      </c>
      <c r="AA197" s="5">
        <v>277</v>
      </c>
    </row>
    <row r="198" spans="2:27" x14ac:dyDescent="0.25">
      <c r="B198" s="6">
        <v>12738501</v>
      </c>
      <c r="C198" s="17">
        <v>0.61041666666666672</v>
      </c>
      <c r="D198" s="11">
        <v>44514</v>
      </c>
      <c r="E198" s="5" t="s">
        <v>31</v>
      </c>
      <c r="F198" s="5">
        <v>6319</v>
      </c>
      <c r="G198" s="5">
        <v>2</v>
      </c>
      <c r="H198" s="5">
        <v>2</v>
      </c>
      <c r="J198" s="5">
        <v>2998</v>
      </c>
      <c r="K198" s="5">
        <v>599.6</v>
      </c>
      <c r="X198" s="5">
        <v>2398.4</v>
      </c>
      <c r="Y198" s="5">
        <f>215.86+215.86</f>
        <v>431.72</v>
      </c>
      <c r="Z198" s="12">
        <f t="shared" si="2"/>
        <v>2830.12</v>
      </c>
      <c r="AA198" s="5">
        <v>277</v>
      </c>
    </row>
    <row r="199" spans="2:27" x14ac:dyDescent="0.25">
      <c r="B199" s="6">
        <v>14323221</v>
      </c>
      <c r="C199" s="17">
        <v>0.91111111111111109</v>
      </c>
      <c r="D199" s="11">
        <v>44515</v>
      </c>
      <c r="E199" s="5" t="s">
        <v>31</v>
      </c>
      <c r="F199" s="5">
        <v>6371</v>
      </c>
      <c r="G199" s="5">
        <v>1</v>
      </c>
      <c r="H199" s="5">
        <v>1</v>
      </c>
      <c r="J199" s="5">
        <v>425</v>
      </c>
      <c r="K199" s="5">
        <v>85</v>
      </c>
      <c r="X199" s="5">
        <v>340</v>
      </c>
      <c r="Y199" s="5">
        <f>30.6+30.6</f>
        <v>61.2</v>
      </c>
      <c r="Z199" s="12">
        <f t="shared" si="2"/>
        <v>401.2</v>
      </c>
      <c r="AA199" s="5">
        <v>277</v>
      </c>
    </row>
    <row r="200" spans="2:27" x14ac:dyDescent="0.25">
      <c r="B200" s="6">
        <v>12732591</v>
      </c>
      <c r="C200" s="17">
        <v>0.87847222222222221</v>
      </c>
      <c r="D200" s="11">
        <v>44515</v>
      </c>
      <c r="E200" s="5" t="s">
        <v>55</v>
      </c>
      <c r="F200" s="5">
        <v>3297</v>
      </c>
      <c r="G200" s="5">
        <v>3</v>
      </c>
      <c r="H200" s="5">
        <v>3</v>
      </c>
      <c r="P200" s="5">
        <v>1000</v>
      </c>
      <c r="Q200" s="5">
        <v>200</v>
      </c>
      <c r="X200" s="5">
        <v>800</v>
      </c>
      <c r="Y200" s="5">
        <v>160</v>
      </c>
      <c r="Z200" s="12">
        <f t="shared" si="2"/>
        <v>960</v>
      </c>
      <c r="AA200" s="5">
        <v>363</v>
      </c>
    </row>
    <row r="201" spans="2:27" x14ac:dyDescent="0.25">
      <c r="B201" s="6">
        <v>12732591</v>
      </c>
      <c r="C201" s="17">
        <v>0.87916666666666676</v>
      </c>
      <c r="D201" s="11">
        <v>44516</v>
      </c>
      <c r="E201" s="5" t="s">
        <v>31</v>
      </c>
      <c r="F201" s="5">
        <v>6402</v>
      </c>
      <c r="G201" s="5">
        <v>1</v>
      </c>
      <c r="H201" s="5">
        <v>1</v>
      </c>
      <c r="J201" s="5">
        <v>1200</v>
      </c>
      <c r="K201" s="5">
        <v>240</v>
      </c>
      <c r="X201" s="5">
        <v>960</v>
      </c>
      <c r="Y201" s="5">
        <f>86.4+86.4</f>
        <v>172.8</v>
      </c>
      <c r="Z201" s="12">
        <f t="shared" si="2"/>
        <v>1132.8</v>
      </c>
      <c r="AA201" s="5">
        <v>363</v>
      </c>
    </row>
    <row r="202" spans="2:27" x14ac:dyDescent="0.25">
      <c r="B202" s="6">
        <v>14323221</v>
      </c>
      <c r="C202" s="17">
        <v>0.75763888888888886</v>
      </c>
      <c r="D202" s="11">
        <v>44517</v>
      </c>
      <c r="E202" s="5" t="s">
        <v>31</v>
      </c>
      <c r="F202" s="5">
        <v>6435</v>
      </c>
      <c r="G202" s="5">
        <v>2</v>
      </c>
      <c r="H202" s="5">
        <v>2</v>
      </c>
      <c r="J202" s="5">
        <v>500</v>
      </c>
      <c r="K202" s="5">
        <v>250</v>
      </c>
      <c r="X202" s="5">
        <v>400</v>
      </c>
      <c r="Y202" s="5">
        <f>36+360</f>
        <v>396</v>
      </c>
      <c r="Z202" s="12">
        <f t="shared" si="2"/>
        <v>796</v>
      </c>
      <c r="AA202" s="5">
        <v>277</v>
      </c>
    </row>
    <row r="203" spans="2:27" x14ac:dyDescent="0.25">
      <c r="B203" s="6">
        <v>12986211</v>
      </c>
      <c r="C203" s="17">
        <v>0.90902777777777777</v>
      </c>
      <c r="D203" s="11">
        <v>44517</v>
      </c>
      <c r="E203" s="5" t="s">
        <v>31</v>
      </c>
      <c r="F203" s="5">
        <v>6450</v>
      </c>
      <c r="G203" s="5">
        <v>2</v>
      </c>
      <c r="H203" s="5">
        <v>2</v>
      </c>
      <c r="J203" s="5">
        <v>1300</v>
      </c>
      <c r="K203" s="5">
        <v>650</v>
      </c>
      <c r="X203" s="5">
        <v>650</v>
      </c>
      <c r="Y203" s="5">
        <f>58.5+58.5</f>
        <v>117</v>
      </c>
      <c r="Z203" s="12">
        <f t="shared" si="2"/>
        <v>767</v>
      </c>
      <c r="AA203" s="5">
        <v>363</v>
      </c>
    </row>
    <row r="204" spans="2:27" x14ac:dyDescent="0.25">
      <c r="B204" s="6">
        <v>12986211</v>
      </c>
      <c r="C204" s="17">
        <v>0.9</v>
      </c>
      <c r="D204" s="11">
        <v>44517</v>
      </c>
      <c r="E204" s="5" t="s">
        <v>55</v>
      </c>
      <c r="F204" s="5">
        <v>3316</v>
      </c>
      <c r="G204" s="5">
        <v>2</v>
      </c>
      <c r="H204" s="5">
        <v>2</v>
      </c>
      <c r="P204" s="5">
        <f>Q204*5</f>
        <v>4125</v>
      </c>
      <c r="Q204" s="5">
        <v>825</v>
      </c>
      <c r="X204" s="5">
        <v>3300</v>
      </c>
      <c r="Y204" s="5">
        <v>660</v>
      </c>
      <c r="Z204" s="12">
        <f t="shared" ref="Z204:Z267" si="3">X204+Y204</f>
        <v>3960</v>
      </c>
      <c r="AA204" s="5">
        <v>340</v>
      </c>
    </row>
    <row r="205" spans="2:27" x14ac:dyDescent="0.25">
      <c r="B205" s="6">
        <v>14323221</v>
      </c>
      <c r="C205" s="17">
        <v>0.85486111111111107</v>
      </c>
      <c r="D205" s="11">
        <v>44519</v>
      </c>
      <c r="E205" s="5" t="s">
        <v>31</v>
      </c>
      <c r="F205" s="5">
        <v>6523</v>
      </c>
      <c r="G205" s="5">
        <v>2</v>
      </c>
      <c r="H205" s="5">
        <v>2</v>
      </c>
      <c r="J205" s="5">
        <v>1625</v>
      </c>
      <c r="K205" s="5">
        <v>812.5</v>
      </c>
      <c r="X205" s="5">
        <v>812.5</v>
      </c>
      <c r="Y205" s="5">
        <f>73.13+73.13</f>
        <v>146.26</v>
      </c>
      <c r="Z205" s="12">
        <f t="shared" si="3"/>
        <v>958.76</v>
      </c>
      <c r="AA205" s="5">
        <v>277</v>
      </c>
    </row>
    <row r="206" spans="2:27" x14ac:dyDescent="0.25">
      <c r="B206" s="6">
        <v>12628101</v>
      </c>
      <c r="C206" s="17">
        <v>0.79583333333333339</v>
      </c>
      <c r="D206" s="11">
        <v>44519</v>
      </c>
      <c r="E206" s="5" t="s">
        <v>31</v>
      </c>
      <c r="F206" s="5">
        <v>6520</v>
      </c>
      <c r="G206" s="5">
        <v>2</v>
      </c>
      <c r="H206" s="5">
        <v>2</v>
      </c>
      <c r="J206" s="5">
        <v>525</v>
      </c>
      <c r="K206" s="5">
        <v>262.5</v>
      </c>
      <c r="X206" s="5">
        <v>262.5</v>
      </c>
      <c r="Y206" s="5">
        <f>23.63+23.63</f>
        <v>47.26</v>
      </c>
      <c r="Z206" s="12">
        <f t="shared" si="3"/>
        <v>309.76</v>
      </c>
      <c r="AA206" s="5">
        <v>277</v>
      </c>
    </row>
    <row r="207" spans="2:27" x14ac:dyDescent="0.25">
      <c r="B207" s="6">
        <v>14200091</v>
      </c>
      <c r="C207" s="17">
        <v>0.34791666666666665</v>
      </c>
      <c r="D207" s="11">
        <v>44519</v>
      </c>
      <c r="E207" s="5" t="s">
        <v>31</v>
      </c>
      <c r="F207" s="5">
        <v>6490</v>
      </c>
      <c r="G207" s="5">
        <v>2</v>
      </c>
      <c r="H207" s="5">
        <v>2</v>
      </c>
      <c r="J207" s="5">
        <v>1398</v>
      </c>
      <c r="K207" s="5">
        <v>699</v>
      </c>
      <c r="X207" s="5">
        <v>699</v>
      </c>
      <c r="Y207" s="5">
        <f>62.91+62.91</f>
        <v>125.82</v>
      </c>
      <c r="Z207" s="12">
        <f t="shared" si="3"/>
        <v>824.81999999999994</v>
      </c>
      <c r="AA207" s="5">
        <v>277</v>
      </c>
    </row>
    <row r="208" spans="2:27" x14ac:dyDescent="0.25">
      <c r="B208" s="6" t="s">
        <v>39</v>
      </c>
      <c r="C208" s="17">
        <v>0.83680555555555547</v>
      </c>
      <c r="D208" s="11">
        <v>44522</v>
      </c>
      <c r="E208" s="5" t="s">
        <v>31</v>
      </c>
      <c r="F208" s="5">
        <v>6598</v>
      </c>
      <c r="G208" s="5">
        <v>14</v>
      </c>
      <c r="H208" s="5">
        <v>14</v>
      </c>
      <c r="J208" s="5">
        <v>12000</v>
      </c>
      <c r="K208" s="5">
        <v>6000</v>
      </c>
      <c r="X208" s="5">
        <v>6000</v>
      </c>
      <c r="Y208" s="5">
        <v>1080</v>
      </c>
      <c r="Z208" s="12">
        <f t="shared" si="3"/>
        <v>7080</v>
      </c>
      <c r="AA208" s="5">
        <v>277</v>
      </c>
    </row>
    <row r="209" spans="2:27" x14ac:dyDescent="0.25">
      <c r="B209" s="6">
        <v>1200000</v>
      </c>
      <c r="C209" s="17">
        <v>0.9458333333333333</v>
      </c>
      <c r="D209" s="11">
        <v>44522</v>
      </c>
      <c r="E209" s="5" t="s">
        <v>31</v>
      </c>
      <c r="F209" s="5">
        <v>6608</v>
      </c>
      <c r="G209" s="5">
        <v>3</v>
      </c>
      <c r="H209" s="5">
        <v>3</v>
      </c>
      <c r="J209" s="5">
        <v>3600</v>
      </c>
      <c r="K209" s="5">
        <v>720</v>
      </c>
      <c r="X209" s="5">
        <v>2880</v>
      </c>
      <c r="Y209" s="5">
        <f>259.2+259.2</f>
        <v>518.4</v>
      </c>
      <c r="Z209" s="12">
        <f t="shared" si="3"/>
        <v>3398.4</v>
      </c>
      <c r="AA209" s="5">
        <v>277</v>
      </c>
    </row>
    <row r="210" spans="2:27" x14ac:dyDescent="0.25">
      <c r="B210" s="6">
        <v>12000000</v>
      </c>
      <c r="C210" s="17">
        <v>0.88888888888888884</v>
      </c>
      <c r="D210" s="11">
        <v>44524</v>
      </c>
      <c r="E210" s="5" t="s">
        <v>31</v>
      </c>
      <c r="F210" s="5">
        <v>6691</v>
      </c>
      <c r="G210" s="5">
        <v>1</v>
      </c>
      <c r="H210" s="5">
        <v>1</v>
      </c>
      <c r="J210" s="5">
        <v>1200</v>
      </c>
      <c r="K210" s="5">
        <v>240</v>
      </c>
      <c r="X210" s="5">
        <v>960</v>
      </c>
      <c r="Y210" s="5">
        <f>86.4+86.4</f>
        <v>172.8</v>
      </c>
      <c r="Z210" s="12">
        <f t="shared" si="3"/>
        <v>1132.8</v>
      </c>
      <c r="AA210" s="5">
        <v>277</v>
      </c>
    </row>
    <row r="211" spans="2:27" x14ac:dyDescent="0.25">
      <c r="B211" s="6" t="s">
        <v>96</v>
      </c>
      <c r="C211" s="17">
        <v>0.8881944444444444</v>
      </c>
      <c r="D211" s="11">
        <v>44524</v>
      </c>
      <c r="E211" s="5" t="s">
        <v>31</v>
      </c>
      <c r="F211" s="5">
        <v>6689</v>
      </c>
      <c r="G211" s="5">
        <v>10</v>
      </c>
      <c r="H211" s="5">
        <v>10</v>
      </c>
      <c r="J211" s="5">
        <v>12000</v>
      </c>
      <c r="K211" s="5">
        <v>6000</v>
      </c>
      <c r="X211" s="5">
        <v>6000</v>
      </c>
      <c r="Y211" s="5">
        <v>1080</v>
      </c>
      <c r="Z211" s="12">
        <f t="shared" si="3"/>
        <v>7080</v>
      </c>
      <c r="AA211" s="5">
        <v>277</v>
      </c>
    </row>
    <row r="212" spans="2:27" x14ac:dyDescent="0.25">
      <c r="B212" s="6">
        <v>12548111</v>
      </c>
      <c r="C212" s="17">
        <v>0.9194444444444444</v>
      </c>
      <c r="D212" s="11">
        <v>44525</v>
      </c>
      <c r="E212" s="5" t="s">
        <v>31</v>
      </c>
      <c r="F212" s="5">
        <v>6743</v>
      </c>
      <c r="G212" s="5">
        <v>1</v>
      </c>
      <c r="H212" s="5">
        <v>1</v>
      </c>
      <c r="J212" s="5">
        <v>1350</v>
      </c>
      <c r="K212" s="5">
        <v>675</v>
      </c>
      <c r="X212" s="5">
        <v>675</v>
      </c>
      <c r="Y212" s="5">
        <f>60.75+60.75</f>
        <v>121.5</v>
      </c>
      <c r="Z212" s="12">
        <f t="shared" si="3"/>
        <v>796.5</v>
      </c>
      <c r="AA212" s="5">
        <v>277</v>
      </c>
    </row>
    <row r="213" spans="2:27" x14ac:dyDescent="0.25">
      <c r="B213" s="6" t="s">
        <v>97</v>
      </c>
      <c r="C213" s="17">
        <v>0.82638888888888884</v>
      </c>
      <c r="D213" s="11">
        <v>44525</v>
      </c>
      <c r="E213" s="5" t="s">
        <v>31</v>
      </c>
      <c r="F213" s="5">
        <v>6723</v>
      </c>
      <c r="G213" s="5">
        <v>6</v>
      </c>
      <c r="H213" s="5">
        <v>6</v>
      </c>
      <c r="J213" s="5">
        <v>7200</v>
      </c>
      <c r="K213" s="5">
        <v>3600</v>
      </c>
      <c r="X213" s="5">
        <v>3600</v>
      </c>
      <c r="Y213" s="5">
        <f>324+324</f>
        <v>648</v>
      </c>
      <c r="Z213" s="12">
        <f t="shared" si="3"/>
        <v>4248</v>
      </c>
      <c r="AA213" s="5">
        <v>277</v>
      </c>
    </row>
    <row r="214" spans="2:27" x14ac:dyDescent="0.25">
      <c r="B214" s="6">
        <v>14323221</v>
      </c>
      <c r="C214" s="17">
        <v>0.82361111111111107</v>
      </c>
      <c r="D214" s="11">
        <v>44525</v>
      </c>
      <c r="E214" s="5" t="s">
        <v>31</v>
      </c>
      <c r="F214" s="5">
        <v>6722</v>
      </c>
      <c r="G214" s="5">
        <v>2</v>
      </c>
      <c r="H214" s="5">
        <v>2</v>
      </c>
      <c r="J214" s="5">
        <v>1350</v>
      </c>
      <c r="K214" s="5">
        <v>625</v>
      </c>
      <c r="X214" s="5">
        <v>975</v>
      </c>
      <c r="Y214" s="5">
        <f>87.75+87.75</f>
        <v>175.5</v>
      </c>
      <c r="Z214" s="12">
        <f t="shared" si="3"/>
        <v>1150.5</v>
      </c>
      <c r="AA214" s="5">
        <v>277</v>
      </c>
    </row>
    <row r="215" spans="2:27" x14ac:dyDescent="0.25">
      <c r="B215" s="6" t="s">
        <v>98</v>
      </c>
      <c r="C215" s="17">
        <v>0.53194444444444444</v>
      </c>
      <c r="D215" s="11">
        <v>44525</v>
      </c>
      <c r="E215" s="5" t="s">
        <v>31</v>
      </c>
      <c r="F215" s="5">
        <v>6706</v>
      </c>
      <c r="G215" s="5">
        <v>6</v>
      </c>
      <c r="H215" s="5">
        <v>6</v>
      </c>
      <c r="J215" s="5">
        <v>4194</v>
      </c>
      <c r="K215" s="5">
        <v>2097</v>
      </c>
      <c r="X215" s="5">
        <v>2097</v>
      </c>
      <c r="Y215" s="5">
        <f>188.73+188.73</f>
        <v>377.46</v>
      </c>
      <c r="Z215" s="12">
        <f t="shared" si="3"/>
        <v>2474.46</v>
      </c>
      <c r="AA215" s="5">
        <v>277</v>
      </c>
    </row>
    <row r="216" spans="2:27" x14ac:dyDescent="0.25">
      <c r="B216" s="6">
        <v>12548111</v>
      </c>
      <c r="C216" s="17">
        <v>0.96944444444444444</v>
      </c>
      <c r="D216" s="11">
        <v>44526</v>
      </c>
      <c r="E216" s="5" t="s">
        <v>31</v>
      </c>
      <c r="F216" s="5">
        <v>6793</v>
      </c>
      <c r="G216" s="5">
        <v>2</v>
      </c>
      <c r="H216" s="5">
        <v>2</v>
      </c>
      <c r="J216" s="5">
        <v>1200</v>
      </c>
      <c r="K216" s="5">
        <v>600</v>
      </c>
      <c r="X216" s="5">
        <v>600</v>
      </c>
      <c r="Y216" s="5">
        <v>108</v>
      </c>
      <c r="Z216" s="12">
        <f t="shared" si="3"/>
        <v>708</v>
      </c>
      <c r="AA216" s="5">
        <v>277</v>
      </c>
    </row>
    <row r="217" spans="2:27" x14ac:dyDescent="0.25">
      <c r="B217" s="6">
        <v>12762701</v>
      </c>
      <c r="C217" s="17">
        <v>0.9916666666666667</v>
      </c>
      <c r="D217" s="11">
        <v>44527</v>
      </c>
      <c r="E217" s="5" t="s">
        <v>30</v>
      </c>
      <c r="F217" s="5">
        <v>2463</v>
      </c>
      <c r="G217" s="5">
        <v>1</v>
      </c>
      <c r="H217" s="5">
        <v>1</v>
      </c>
      <c r="J217" s="5">
        <f>K217*5</f>
        <v>725</v>
      </c>
      <c r="K217" s="5">
        <v>145</v>
      </c>
      <c r="X217" s="5">
        <v>580</v>
      </c>
      <c r="Y217" s="5">
        <f>52.2+52.2</f>
        <v>104.4</v>
      </c>
      <c r="Z217" s="12">
        <f t="shared" si="3"/>
        <v>684.4</v>
      </c>
      <c r="AA217" s="5">
        <v>277</v>
      </c>
    </row>
    <row r="218" spans="2:27" x14ac:dyDescent="0.25">
      <c r="B218" s="6">
        <v>12762701</v>
      </c>
      <c r="C218" s="17">
        <v>0.51458333333333328</v>
      </c>
      <c r="D218" s="11">
        <v>44527</v>
      </c>
      <c r="E218" s="5" t="s">
        <v>30</v>
      </c>
      <c r="F218" s="5">
        <v>2411</v>
      </c>
      <c r="G218" s="5">
        <v>1</v>
      </c>
      <c r="H218" s="5">
        <v>1</v>
      </c>
      <c r="L218" s="5">
        <v>525</v>
      </c>
      <c r="M218" s="5">
        <v>78.75</v>
      </c>
      <c r="X218" s="5">
        <v>446</v>
      </c>
      <c r="Y218" s="5">
        <f>40.16+40.16</f>
        <v>80.319999999999993</v>
      </c>
      <c r="Z218" s="12">
        <f t="shared" si="3"/>
        <v>526.31999999999994</v>
      </c>
      <c r="AA218" s="5">
        <v>312</v>
      </c>
    </row>
    <row r="219" spans="2:27" x14ac:dyDescent="0.25">
      <c r="B219" s="6" t="s">
        <v>99</v>
      </c>
      <c r="C219" s="17">
        <v>0.93194444444444446</v>
      </c>
      <c r="D219" s="11">
        <v>44527</v>
      </c>
      <c r="E219" s="5" t="s">
        <v>31</v>
      </c>
      <c r="F219" s="5">
        <v>6840</v>
      </c>
      <c r="G219" s="5">
        <v>4</v>
      </c>
      <c r="H219" s="5">
        <v>4</v>
      </c>
      <c r="J219" s="5">
        <v>4800</v>
      </c>
      <c r="K219" s="5">
        <v>2400</v>
      </c>
      <c r="X219" s="5">
        <v>2400</v>
      </c>
      <c r="Y219" s="5">
        <v>432</v>
      </c>
      <c r="Z219" s="12">
        <f t="shared" si="3"/>
        <v>2832</v>
      </c>
      <c r="AA219" s="5">
        <v>366</v>
      </c>
    </row>
    <row r="220" spans="2:27" x14ac:dyDescent="0.25">
      <c r="B220" s="6" t="s">
        <v>100</v>
      </c>
      <c r="C220" s="17">
        <v>0.44166666666666665</v>
      </c>
      <c r="D220" s="11">
        <v>44527</v>
      </c>
      <c r="E220" s="5" t="s">
        <v>31</v>
      </c>
      <c r="F220" s="5">
        <v>6799</v>
      </c>
      <c r="G220" s="5">
        <v>4</v>
      </c>
      <c r="H220" s="5">
        <v>4</v>
      </c>
      <c r="J220" s="5">
        <v>2793</v>
      </c>
      <c r="K220" s="5">
        <v>1398</v>
      </c>
      <c r="X220" s="5">
        <v>1398</v>
      </c>
      <c r="Y220" s="5">
        <f>125.82+125.82</f>
        <v>251.64</v>
      </c>
      <c r="Z220" s="12">
        <f t="shared" si="3"/>
        <v>1649.6399999999999</v>
      </c>
      <c r="AA220" s="5">
        <v>277</v>
      </c>
    </row>
    <row r="221" spans="2:27" x14ac:dyDescent="0.25">
      <c r="B221" s="6">
        <v>14802361</v>
      </c>
      <c r="C221" s="17">
        <v>0.91041666666666676</v>
      </c>
      <c r="D221" s="11">
        <v>44528</v>
      </c>
      <c r="E221" s="5" t="s">
        <v>55</v>
      </c>
      <c r="F221" s="5">
        <v>3441</v>
      </c>
      <c r="G221" s="5">
        <v>2</v>
      </c>
      <c r="H221" s="5">
        <v>2</v>
      </c>
      <c r="P221" s="5">
        <v>900</v>
      </c>
      <c r="Q221" s="5">
        <v>180</v>
      </c>
      <c r="X221" s="5">
        <v>720</v>
      </c>
      <c r="Y221" s="5">
        <v>144</v>
      </c>
      <c r="Z221" s="12">
        <f t="shared" si="3"/>
        <v>864</v>
      </c>
      <c r="AA221" s="5">
        <v>277</v>
      </c>
    </row>
    <row r="222" spans="2:27" x14ac:dyDescent="0.25">
      <c r="B222" s="6">
        <v>12889271</v>
      </c>
      <c r="C222" s="17">
        <v>0.5854166666666667</v>
      </c>
      <c r="D222" s="11">
        <v>44528</v>
      </c>
      <c r="E222" s="5" t="s">
        <v>31</v>
      </c>
      <c r="F222" s="5">
        <v>6863</v>
      </c>
      <c r="G222" s="5">
        <v>4</v>
      </c>
      <c r="H222" s="5">
        <v>4</v>
      </c>
      <c r="J222" s="5">
        <f>K222*2</f>
        <v>6146</v>
      </c>
      <c r="K222" s="5">
        <v>3073</v>
      </c>
      <c r="X222" s="5">
        <v>3073</v>
      </c>
      <c r="Y222" s="5">
        <f>276.57+276.57</f>
        <v>553.14</v>
      </c>
      <c r="Z222" s="12">
        <f t="shared" si="3"/>
        <v>3626.14</v>
      </c>
      <c r="AA222" s="5">
        <v>277</v>
      </c>
    </row>
    <row r="223" spans="2:27" x14ac:dyDescent="0.25">
      <c r="B223" s="6">
        <v>12762701</v>
      </c>
      <c r="C223" s="17">
        <v>0.45277777777777778</v>
      </c>
      <c r="D223" s="11">
        <v>44528</v>
      </c>
      <c r="E223" s="5" t="s">
        <v>31</v>
      </c>
      <c r="F223" s="5">
        <v>6853</v>
      </c>
      <c r="G223" s="5">
        <v>1</v>
      </c>
      <c r="H223" s="5">
        <v>1</v>
      </c>
      <c r="J223" s="5">
        <v>699</v>
      </c>
      <c r="K223" s="5">
        <v>139</v>
      </c>
      <c r="X223" s="5">
        <v>559</v>
      </c>
      <c r="Y223" s="5">
        <v>139.80000000000001</v>
      </c>
      <c r="Z223" s="12">
        <f t="shared" si="3"/>
        <v>698.8</v>
      </c>
      <c r="AA223" s="5">
        <v>312</v>
      </c>
    </row>
    <row r="224" spans="2:27" x14ac:dyDescent="0.25">
      <c r="B224" s="6">
        <v>14802361</v>
      </c>
      <c r="C224" s="17">
        <v>0.91736111111111107</v>
      </c>
      <c r="D224" s="11">
        <v>44528</v>
      </c>
      <c r="E224" s="5" t="s">
        <v>31</v>
      </c>
      <c r="F224" s="5">
        <v>6899</v>
      </c>
      <c r="G224" s="5">
        <v>2</v>
      </c>
      <c r="H224" s="5">
        <v>2</v>
      </c>
      <c r="J224" s="5">
        <v>2400</v>
      </c>
      <c r="K224" s="5">
        <v>1200</v>
      </c>
      <c r="L224" s="5">
        <v>175</v>
      </c>
      <c r="M224" s="5">
        <v>87.5</v>
      </c>
      <c r="X224" s="5">
        <v>1287.5</v>
      </c>
      <c r="Y224" s="5">
        <f>115.88+115.88</f>
        <v>231.76</v>
      </c>
      <c r="Z224" s="12">
        <f t="shared" si="3"/>
        <v>1519.26</v>
      </c>
      <c r="AA224" s="5">
        <v>277</v>
      </c>
    </row>
    <row r="225" spans="2:27" x14ac:dyDescent="0.25">
      <c r="B225" s="6">
        <v>14756051</v>
      </c>
      <c r="C225" s="17">
        <v>0.90625</v>
      </c>
      <c r="D225" s="11">
        <v>44530</v>
      </c>
      <c r="E225" s="5" t="s">
        <v>31</v>
      </c>
      <c r="F225" s="5">
        <v>6956</v>
      </c>
      <c r="G225" s="5">
        <v>1</v>
      </c>
      <c r="H225" s="5">
        <v>1</v>
      </c>
      <c r="J225" s="5">
        <v>1600</v>
      </c>
      <c r="K225" s="5">
        <v>800</v>
      </c>
      <c r="X225" s="5">
        <v>800</v>
      </c>
      <c r="Y225" s="5">
        <v>144</v>
      </c>
      <c r="Z225" s="12">
        <f t="shared" si="3"/>
        <v>944</v>
      </c>
      <c r="AA225" s="5">
        <v>369</v>
      </c>
    </row>
    <row r="226" spans="2:27" x14ac:dyDescent="0.25">
      <c r="B226" s="6">
        <v>14282011</v>
      </c>
      <c r="C226" s="17">
        <v>0.63194444444444442</v>
      </c>
      <c r="D226" s="11">
        <v>44530</v>
      </c>
      <c r="E226" s="5" t="s">
        <v>31</v>
      </c>
      <c r="F226" s="5">
        <v>6937</v>
      </c>
      <c r="G226" s="5">
        <v>2</v>
      </c>
      <c r="H226" s="5">
        <v>2</v>
      </c>
      <c r="J226" s="5">
        <v>2000</v>
      </c>
      <c r="K226" s="5">
        <v>1000</v>
      </c>
      <c r="X226" s="5">
        <v>1000</v>
      </c>
      <c r="Y226" s="5">
        <v>180</v>
      </c>
      <c r="Z226" s="5">
        <f t="shared" si="3"/>
        <v>1180</v>
      </c>
      <c r="AA226" s="5">
        <v>277</v>
      </c>
    </row>
    <row r="227" spans="2:27" x14ac:dyDescent="0.25">
      <c r="B227" s="6" t="s">
        <v>101</v>
      </c>
      <c r="C227" s="17">
        <v>0.85277777777777775</v>
      </c>
      <c r="D227" s="11">
        <v>44531</v>
      </c>
      <c r="E227" s="5" t="s">
        <v>55</v>
      </c>
      <c r="F227" s="5">
        <v>3473</v>
      </c>
      <c r="G227" s="5">
        <v>1</v>
      </c>
      <c r="H227" s="5">
        <v>1</v>
      </c>
      <c r="P227" s="5">
        <v>450</v>
      </c>
      <c r="Q227" s="5">
        <v>90</v>
      </c>
      <c r="X227" s="5">
        <v>360</v>
      </c>
      <c r="Y227" s="5">
        <v>72</v>
      </c>
      <c r="Z227" s="5">
        <f t="shared" si="3"/>
        <v>432</v>
      </c>
      <c r="AA227" s="5">
        <v>277</v>
      </c>
    </row>
    <row r="228" spans="2:27" x14ac:dyDescent="0.25">
      <c r="B228" s="6" t="s">
        <v>102</v>
      </c>
      <c r="C228" s="17">
        <v>0.9590277777777777</v>
      </c>
      <c r="D228" s="11">
        <v>44531</v>
      </c>
      <c r="E228" s="5" t="s">
        <v>31</v>
      </c>
      <c r="F228" s="5">
        <v>6007</v>
      </c>
      <c r="G228" s="5">
        <v>8</v>
      </c>
      <c r="H228" s="5">
        <v>8</v>
      </c>
      <c r="J228" s="5">
        <v>9600</v>
      </c>
      <c r="K228" s="5">
        <v>4800</v>
      </c>
      <c r="X228" s="5">
        <v>4800</v>
      </c>
      <c r="Y228" s="5">
        <f>432+432</f>
        <v>864</v>
      </c>
      <c r="Z228" s="5">
        <f t="shared" si="3"/>
        <v>5664</v>
      </c>
      <c r="AA228" s="5">
        <v>277</v>
      </c>
    </row>
    <row r="229" spans="2:27" x14ac:dyDescent="0.25">
      <c r="B229" s="6">
        <v>12628551</v>
      </c>
      <c r="C229" s="17">
        <v>0.85</v>
      </c>
      <c r="D229" s="11">
        <v>44531</v>
      </c>
      <c r="E229" s="5" t="s">
        <v>31</v>
      </c>
      <c r="F229" s="5">
        <v>6994</v>
      </c>
      <c r="G229" s="5">
        <v>4</v>
      </c>
      <c r="H229" s="5">
        <v>4</v>
      </c>
      <c r="J229" s="5">
        <v>4800</v>
      </c>
      <c r="K229" s="5">
        <v>2400</v>
      </c>
      <c r="X229" s="5">
        <v>2400</v>
      </c>
      <c r="Y229" s="5">
        <f>247.5+247.5</f>
        <v>495</v>
      </c>
      <c r="Z229" s="5">
        <f t="shared" si="3"/>
        <v>2895</v>
      </c>
      <c r="AA229" s="5">
        <v>277</v>
      </c>
    </row>
    <row r="230" spans="2:27" x14ac:dyDescent="0.25">
      <c r="B230" s="6">
        <v>14323221</v>
      </c>
      <c r="C230" s="17">
        <v>0.84583333333333333</v>
      </c>
      <c r="D230" s="11">
        <v>44532</v>
      </c>
      <c r="E230" s="5" t="s">
        <v>31</v>
      </c>
      <c r="F230" s="5">
        <v>6032</v>
      </c>
      <c r="G230" s="5">
        <v>1</v>
      </c>
      <c r="H230" s="5">
        <v>1</v>
      </c>
      <c r="J230" s="5">
        <v>350</v>
      </c>
      <c r="K230" s="5">
        <v>70</v>
      </c>
      <c r="X230" s="5">
        <v>280</v>
      </c>
      <c r="Y230" s="5">
        <v>50.4</v>
      </c>
      <c r="Z230" s="5">
        <f t="shared" si="3"/>
        <v>330.4</v>
      </c>
      <c r="AA230" s="5">
        <v>277</v>
      </c>
    </row>
    <row r="231" spans="2:27" x14ac:dyDescent="0.25">
      <c r="B231" s="6" t="s">
        <v>103</v>
      </c>
      <c r="C231" s="17">
        <v>0.90208333333333324</v>
      </c>
      <c r="D231" s="11">
        <v>44533</v>
      </c>
      <c r="E231" s="5" t="s">
        <v>31</v>
      </c>
      <c r="F231" s="5">
        <v>6073</v>
      </c>
      <c r="G231" s="5">
        <v>4</v>
      </c>
      <c r="H231" s="5">
        <v>4</v>
      </c>
      <c r="J231" s="5">
        <v>4800</v>
      </c>
      <c r="K231" s="5">
        <v>2400</v>
      </c>
      <c r="X231" s="5">
        <v>2400</v>
      </c>
      <c r="Y231" s="5">
        <v>432</v>
      </c>
      <c r="Z231" s="5">
        <f t="shared" si="3"/>
        <v>2832</v>
      </c>
      <c r="AA231" s="5">
        <v>277</v>
      </c>
    </row>
    <row r="232" spans="2:27" x14ac:dyDescent="0.25">
      <c r="B232" s="6">
        <v>12534851</v>
      </c>
      <c r="C232" s="17">
        <v>0.93125000000000002</v>
      </c>
      <c r="D232" s="11">
        <v>44533</v>
      </c>
      <c r="E232" s="5" t="s">
        <v>31</v>
      </c>
      <c r="F232" s="5">
        <v>6079</v>
      </c>
      <c r="G232" s="5">
        <v>2</v>
      </c>
      <c r="H232" s="5">
        <v>2</v>
      </c>
      <c r="J232" s="5">
        <f>850+575+125</f>
        <v>1550</v>
      </c>
      <c r="K232" s="5">
        <v>511.5</v>
      </c>
      <c r="L232" s="5">
        <v>175</v>
      </c>
      <c r="M232" s="5">
        <v>57.75</v>
      </c>
      <c r="X232" s="5">
        <v>1155.75</v>
      </c>
      <c r="Y232" s="5">
        <f>104.02+104.02</f>
        <v>208.04</v>
      </c>
      <c r="Z232" s="5">
        <f t="shared" si="3"/>
        <v>1363.79</v>
      </c>
      <c r="AA232" s="5">
        <v>277</v>
      </c>
    </row>
    <row r="233" spans="2:27" x14ac:dyDescent="0.25">
      <c r="B233" s="6">
        <v>12952142</v>
      </c>
      <c r="C233" s="17">
        <v>0.87013888888888891</v>
      </c>
      <c r="D233" s="11">
        <v>44533</v>
      </c>
      <c r="E233" s="5" t="s">
        <v>31</v>
      </c>
      <c r="F233" s="5">
        <v>6072</v>
      </c>
      <c r="G233" s="5">
        <v>2</v>
      </c>
      <c r="H233" s="5">
        <v>2</v>
      </c>
      <c r="J233" s="5">
        <v>2400</v>
      </c>
      <c r="K233" s="5">
        <v>1200</v>
      </c>
      <c r="X233" s="5">
        <v>1200</v>
      </c>
      <c r="Y233" s="5">
        <v>216</v>
      </c>
      <c r="Z233" s="5">
        <f t="shared" si="3"/>
        <v>1416</v>
      </c>
      <c r="AA233" s="5">
        <v>277</v>
      </c>
    </row>
    <row r="234" spans="2:27" x14ac:dyDescent="0.25">
      <c r="B234" s="6">
        <v>12952141</v>
      </c>
      <c r="C234" s="17">
        <v>0.70694444444444438</v>
      </c>
      <c r="D234" s="11">
        <v>44533</v>
      </c>
      <c r="E234" s="5" t="s">
        <v>31</v>
      </c>
      <c r="F234" s="5">
        <v>6058</v>
      </c>
      <c r="G234" s="5">
        <v>2</v>
      </c>
      <c r="H234" s="5">
        <v>2</v>
      </c>
      <c r="J234" s="5">
        <v>450</v>
      </c>
      <c r="K234" s="5">
        <v>67.5</v>
      </c>
      <c r="X234" s="5">
        <v>225</v>
      </c>
      <c r="Y234" s="5">
        <f>20.25+20.25</f>
        <v>40.5</v>
      </c>
      <c r="Z234" s="5">
        <f t="shared" si="3"/>
        <v>265.5</v>
      </c>
      <c r="AA234" s="5">
        <v>277</v>
      </c>
    </row>
    <row r="235" spans="2:27" x14ac:dyDescent="0.25">
      <c r="B235" s="6">
        <v>12534851</v>
      </c>
      <c r="C235" s="17">
        <v>0.58888888888888891</v>
      </c>
      <c r="D235" s="11">
        <v>44533</v>
      </c>
      <c r="E235" s="5" t="s">
        <v>31</v>
      </c>
      <c r="F235" s="5">
        <v>6050</v>
      </c>
      <c r="G235" s="5">
        <v>3</v>
      </c>
      <c r="H235" s="5">
        <v>3</v>
      </c>
      <c r="J235" s="5">
        <v>3000</v>
      </c>
      <c r="K235" s="5">
        <v>990</v>
      </c>
      <c r="X235" s="5">
        <v>2010</v>
      </c>
      <c r="Y235" s="5">
        <f>180.9+180.9</f>
        <v>361.8</v>
      </c>
      <c r="Z235" s="5">
        <f t="shared" si="3"/>
        <v>2371.8000000000002</v>
      </c>
      <c r="AA235" s="5">
        <v>277</v>
      </c>
    </row>
    <row r="236" spans="2:27" x14ac:dyDescent="0.25">
      <c r="B236" s="6" t="s">
        <v>39</v>
      </c>
      <c r="C236" s="17">
        <v>0.88263888888888886</v>
      </c>
      <c r="D236" s="11">
        <v>44534</v>
      </c>
      <c r="E236" s="5" t="s">
        <v>31</v>
      </c>
      <c r="F236" s="5">
        <v>6127</v>
      </c>
      <c r="G236" s="5">
        <v>2</v>
      </c>
      <c r="H236" s="5">
        <v>2</v>
      </c>
      <c r="J236" s="5">
        <v>7200</v>
      </c>
      <c r="K236" s="5">
        <v>3600</v>
      </c>
      <c r="X236" s="5">
        <v>4650</v>
      </c>
      <c r="Y236" s="5">
        <f>418.5+418.5</f>
        <v>837</v>
      </c>
      <c r="Z236" s="5">
        <f t="shared" si="3"/>
        <v>5487</v>
      </c>
      <c r="AA236" s="5">
        <v>368</v>
      </c>
    </row>
    <row r="237" spans="2:27" x14ac:dyDescent="0.25">
      <c r="B237" s="6" t="s">
        <v>104</v>
      </c>
      <c r="C237" s="17">
        <v>0.93402777777777779</v>
      </c>
      <c r="D237" s="11">
        <v>44534</v>
      </c>
      <c r="E237" s="5" t="s">
        <v>31</v>
      </c>
      <c r="F237" s="5">
        <v>6125</v>
      </c>
      <c r="G237" s="5">
        <v>5</v>
      </c>
      <c r="H237" s="5">
        <v>5</v>
      </c>
      <c r="J237" s="5">
        <v>6000</v>
      </c>
      <c r="K237" s="5">
        <v>3000</v>
      </c>
      <c r="X237" s="5">
        <v>3000</v>
      </c>
      <c r="Y237" s="5">
        <v>540</v>
      </c>
      <c r="Z237" s="5">
        <f t="shared" si="3"/>
        <v>3540</v>
      </c>
      <c r="AA237" s="5">
        <v>277</v>
      </c>
    </row>
    <row r="238" spans="2:27" x14ac:dyDescent="0.25">
      <c r="B238" s="6">
        <v>12575881</v>
      </c>
      <c r="C238" s="17">
        <v>0.6020833333333333</v>
      </c>
      <c r="D238" s="11">
        <v>44534</v>
      </c>
      <c r="E238" s="5" t="s">
        <v>31</v>
      </c>
      <c r="F238" s="5">
        <v>6099</v>
      </c>
      <c r="G238" s="5">
        <v>1</v>
      </c>
      <c r="H238" s="5">
        <v>1</v>
      </c>
      <c r="J238" s="5">
        <v>1299</v>
      </c>
      <c r="K238" s="5">
        <v>259.8</v>
      </c>
      <c r="X238" s="5">
        <v>1039</v>
      </c>
      <c r="Y238" s="5">
        <f>93.53+93.53</f>
        <v>187.06</v>
      </c>
      <c r="Z238" s="5">
        <f t="shared" si="3"/>
        <v>1226.06</v>
      </c>
      <c r="AA238" s="5">
        <v>277</v>
      </c>
    </row>
    <row r="239" spans="2:27" x14ac:dyDescent="0.25">
      <c r="B239" s="6">
        <v>12690711</v>
      </c>
      <c r="C239" s="17">
        <v>0.94236111111111109</v>
      </c>
      <c r="D239" s="11">
        <v>44535</v>
      </c>
      <c r="E239" s="5" t="s">
        <v>31</v>
      </c>
      <c r="F239" s="5">
        <v>6173</v>
      </c>
      <c r="G239" s="5">
        <v>2</v>
      </c>
      <c r="H239" s="5">
        <v>2</v>
      </c>
      <c r="J239" s="5">
        <v>1650</v>
      </c>
      <c r="K239" s="5">
        <v>825</v>
      </c>
      <c r="X239" s="5">
        <v>825</v>
      </c>
      <c r="Y239" s="5">
        <f>74.25+74.25</f>
        <v>148.5</v>
      </c>
      <c r="Z239" s="5">
        <f t="shared" si="3"/>
        <v>973.5</v>
      </c>
      <c r="AA239" s="5">
        <v>277</v>
      </c>
    </row>
    <row r="240" spans="2:27" x14ac:dyDescent="0.25">
      <c r="B240" s="6">
        <v>14323221</v>
      </c>
      <c r="C240" s="17">
        <v>0.82152777777777775</v>
      </c>
      <c r="D240" s="11">
        <v>44536</v>
      </c>
      <c r="E240" s="5" t="s">
        <v>31</v>
      </c>
      <c r="F240" s="5">
        <v>6192</v>
      </c>
      <c r="G240" s="5">
        <v>1</v>
      </c>
      <c r="H240" s="5">
        <v>1</v>
      </c>
      <c r="J240" s="5">
        <v>425</v>
      </c>
      <c r="K240" s="5">
        <v>85</v>
      </c>
      <c r="X240" s="5">
        <v>340</v>
      </c>
      <c r="Y240" s="5">
        <f>30.6+30.6</f>
        <v>61.2</v>
      </c>
      <c r="Z240" s="5">
        <f t="shared" si="3"/>
        <v>401.2</v>
      </c>
      <c r="AA240" s="5">
        <v>277</v>
      </c>
    </row>
    <row r="241" spans="2:27" x14ac:dyDescent="0.25">
      <c r="B241" s="6">
        <v>14521141</v>
      </c>
      <c r="C241" s="17">
        <v>0.89722222222222225</v>
      </c>
      <c r="D241" s="11">
        <v>44537</v>
      </c>
      <c r="E241" s="5" t="s">
        <v>30</v>
      </c>
      <c r="F241" s="5">
        <v>1508</v>
      </c>
      <c r="G241" s="5">
        <v>1</v>
      </c>
      <c r="H241" s="5">
        <v>1</v>
      </c>
      <c r="J241" s="5">
        <v>1300</v>
      </c>
      <c r="K241" s="5">
        <v>260</v>
      </c>
      <c r="X241" s="5">
        <v>1040</v>
      </c>
      <c r="Y241" s="5">
        <f>93.6+93.6</f>
        <v>187.2</v>
      </c>
      <c r="Z241" s="5">
        <f t="shared" si="3"/>
        <v>1227.2</v>
      </c>
      <c r="AA241" s="5">
        <v>312</v>
      </c>
    </row>
    <row r="242" spans="2:27" x14ac:dyDescent="0.25">
      <c r="B242" s="6">
        <v>12564331</v>
      </c>
      <c r="C242" s="17">
        <v>0.98541666666666661</v>
      </c>
      <c r="D242" s="11">
        <v>44539</v>
      </c>
      <c r="E242" s="5" t="s">
        <v>55</v>
      </c>
      <c r="F242" s="5">
        <v>3557</v>
      </c>
      <c r="G242" s="5">
        <v>9</v>
      </c>
      <c r="H242" s="5">
        <v>9</v>
      </c>
      <c r="O242" s="5">
        <v>10400</v>
      </c>
      <c r="P242" s="5">
        <v>5200</v>
      </c>
      <c r="X242" s="5">
        <v>5200</v>
      </c>
      <c r="Y242" s="5">
        <v>1040</v>
      </c>
      <c r="Z242" s="5">
        <f t="shared" si="3"/>
        <v>6240</v>
      </c>
      <c r="AA242" s="5">
        <v>369</v>
      </c>
    </row>
    <row r="243" spans="2:27" x14ac:dyDescent="0.25">
      <c r="B243" s="6">
        <v>12564331</v>
      </c>
      <c r="C243" s="17">
        <v>0.98541666666666661</v>
      </c>
      <c r="D243" s="11">
        <v>44539</v>
      </c>
      <c r="E243" s="5" t="s">
        <v>55</v>
      </c>
      <c r="F243" s="5">
        <v>3558</v>
      </c>
      <c r="G243" s="5">
        <v>2</v>
      </c>
      <c r="H243" s="5">
        <v>2</v>
      </c>
      <c r="O243" s="5">
        <f>P243*5</f>
        <v>3475</v>
      </c>
      <c r="P243" s="5">
        <f>355+340</f>
        <v>695</v>
      </c>
      <c r="X243" s="5">
        <v>2780</v>
      </c>
      <c r="Y243" s="5">
        <v>556</v>
      </c>
      <c r="Z243" s="5">
        <f t="shared" si="3"/>
        <v>3336</v>
      </c>
      <c r="AA243" s="5">
        <v>369</v>
      </c>
    </row>
    <row r="244" spans="2:27" x14ac:dyDescent="0.25">
      <c r="B244" s="6" t="s">
        <v>105</v>
      </c>
      <c r="C244" s="17">
        <v>0.99236111111111114</v>
      </c>
      <c r="D244" s="11">
        <v>44539</v>
      </c>
      <c r="E244" s="5" t="s">
        <v>31</v>
      </c>
      <c r="F244" s="5">
        <v>6323</v>
      </c>
      <c r="G244" s="5">
        <v>10</v>
      </c>
      <c r="H244" s="5">
        <v>10</v>
      </c>
      <c r="J244" s="5">
        <v>12000</v>
      </c>
      <c r="K244" s="5">
        <v>6000</v>
      </c>
      <c r="X244" s="5">
        <v>6000</v>
      </c>
      <c r="Y244" s="5">
        <v>1080</v>
      </c>
      <c r="Z244" s="5">
        <f t="shared" si="3"/>
        <v>7080</v>
      </c>
      <c r="AA244" s="5">
        <v>369</v>
      </c>
    </row>
    <row r="245" spans="2:27" x14ac:dyDescent="0.25">
      <c r="B245" s="6">
        <v>12564331</v>
      </c>
      <c r="C245" s="17">
        <v>0.84583333333333333</v>
      </c>
      <c r="D245" s="11">
        <v>44539</v>
      </c>
      <c r="E245" s="5" t="s">
        <v>31</v>
      </c>
      <c r="F245" s="5">
        <v>6311</v>
      </c>
      <c r="G245" s="5">
        <v>12</v>
      </c>
      <c r="H245" s="5">
        <v>12</v>
      </c>
      <c r="J245" s="5">
        <v>2400</v>
      </c>
      <c r="K245" s="5">
        <v>1200</v>
      </c>
      <c r="L245" s="5">
        <v>1225</v>
      </c>
      <c r="M245" s="5">
        <v>612.5</v>
      </c>
      <c r="X245" s="5">
        <v>1812.5</v>
      </c>
      <c r="Y245" s="5">
        <f>163.13+163.13</f>
        <v>326.26</v>
      </c>
      <c r="Z245" s="5">
        <f t="shared" si="3"/>
        <v>2138.7600000000002</v>
      </c>
      <c r="AA245" s="5">
        <v>277</v>
      </c>
    </row>
    <row r="246" spans="2:27" x14ac:dyDescent="0.25">
      <c r="B246" s="6">
        <v>12762701</v>
      </c>
      <c r="C246" s="17">
        <v>0.53541666666666665</v>
      </c>
      <c r="D246" s="11">
        <v>44541</v>
      </c>
      <c r="E246" s="5" t="s">
        <v>30</v>
      </c>
      <c r="F246" s="5">
        <v>1746</v>
      </c>
      <c r="G246" s="5">
        <v>1</v>
      </c>
      <c r="H246" s="5">
        <v>1</v>
      </c>
      <c r="J246" s="5">
        <v>1000</v>
      </c>
      <c r="K246" s="5">
        <v>200</v>
      </c>
      <c r="X246" s="5">
        <v>800</v>
      </c>
      <c r="Y246" s="5">
        <v>144</v>
      </c>
      <c r="Z246" s="5">
        <f t="shared" si="3"/>
        <v>944</v>
      </c>
      <c r="AA246" s="5">
        <v>312</v>
      </c>
    </row>
    <row r="247" spans="2:27" x14ac:dyDescent="0.25">
      <c r="B247" s="6">
        <v>12762701</v>
      </c>
      <c r="C247" s="17">
        <v>0.50138888888888888</v>
      </c>
      <c r="D247" s="11">
        <v>44541</v>
      </c>
      <c r="E247" s="5" t="s">
        <v>30</v>
      </c>
      <c r="F247" s="5">
        <v>1742</v>
      </c>
      <c r="G247" s="5">
        <v>1</v>
      </c>
      <c r="H247" s="5">
        <v>1</v>
      </c>
      <c r="J247" s="5">
        <v>1500</v>
      </c>
      <c r="X247" s="5">
        <v>1500</v>
      </c>
      <c r="Y247" s="5">
        <f>135+135</f>
        <v>270</v>
      </c>
      <c r="Z247" s="5">
        <f t="shared" si="3"/>
        <v>1770</v>
      </c>
      <c r="AA247" s="5">
        <v>312</v>
      </c>
    </row>
    <row r="248" spans="2:27" x14ac:dyDescent="0.25">
      <c r="B248" s="6" t="s">
        <v>39</v>
      </c>
      <c r="C248" s="17">
        <v>0.83472222222222225</v>
      </c>
      <c r="D248" s="11">
        <v>44541</v>
      </c>
      <c r="E248" s="5" t="s">
        <v>31</v>
      </c>
      <c r="F248" s="5">
        <v>6396</v>
      </c>
      <c r="G248" s="5">
        <v>6</v>
      </c>
      <c r="H248" s="5">
        <v>6</v>
      </c>
      <c r="J248" s="5">
        <f>K248*2</f>
        <v>6275</v>
      </c>
      <c r="K248" s="5">
        <v>3137.5</v>
      </c>
      <c r="X248" s="5">
        <v>3837</v>
      </c>
      <c r="Y248" s="5">
        <f>345.38+345.38</f>
        <v>690.76</v>
      </c>
      <c r="Z248" s="5">
        <f t="shared" si="3"/>
        <v>4527.76</v>
      </c>
      <c r="AA248" s="5">
        <v>277</v>
      </c>
    </row>
    <row r="249" spans="2:27" x14ac:dyDescent="0.25">
      <c r="B249" s="6">
        <v>12575881</v>
      </c>
      <c r="C249" s="17">
        <v>0.82708333333333339</v>
      </c>
      <c r="D249" s="11">
        <v>44542</v>
      </c>
      <c r="E249" s="5" t="s">
        <v>31</v>
      </c>
      <c r="F249" s="5">
        <v>6431</v>
      </c>
      <c r="G249" s="5">
        <v>3</v>
      </c>
      <c r="H249" s="5">
        <v>3</v>
      </c>
      <c r="J249" s="5">
        <v>3600</v>
      </c>
      <c r="K249" s="5">
        <v>1188</v>
      </c>
      <c r="X249" s="5">
        <v>1200</v>
      </c>
      <c r="Y249" s="5">
        <f>108+108</f>
        <v>216</v>
      </c>
      <c r="Z249" s="5">
        <f t="shared" si="3"/>
        <v>1416</v>
      </c>
      <c r="AA249" s="5">
        <v>330</v>
      </c>
    </row>
    <row r="250" spans="2:27" x14ac:dyDescent="0.25">
      <c r="B250" s="6">
        <v>12446471</v>
      </c>
      <c r="C250" s="17">
        <v>0.9159722222222223</v>
      </c>
      <c r="D250" s="11">
        <v>44544</v>
      </c>
      <c r="E250" s="5" t="s">
        <v>55</v>
      </c>
      <c r="F250" s="5">
        <v>3601</v>
      </c>
      <c r="G250" s="5">
        <v>1</v>
      </c>
      <c r="H250" s="5">
        <v>1</v>
      </c>
      <c r="O250" s="5">
        <v>1800</v>
      </c>
      <c r="P250" s="5">
        <v>900</v>
      </c>
      <c r="X250" s="5">
        <v>900</v>
      </c>
      <c r="Y250" s="5">
        <v>180</v>
      </c>
      <c r="Z250" s="5">
        <f t="shared" si="3"/>
        <v>1080</v>
      </c>
      <c r="AA250" s="5">
        <v>371</v>
      </c>
    </row>
    <row r="251" spans="2:27" x14ac:dyDescent="0.25">
      <c r="B251" s="6">
        <v>12734561</v>
      </c>
      <c r="C251" s="17">
        <v>0.8305555555555556</v>
      </c>
      <c r="D251" s="11">
        <v>44544</v>
      </c>
      <c r="E251" s="5" t="s">
        <v>55</v>
      </c>
      <c r="F251" s="5">
        <v>3597</v>
      </c>
      <c r="G251" s="5">
        <v>2</v>
      </c>
      <c r="H251" s="5">
        <v>2</v>
      </c>
      <c r="J251" s="5">
        <v>1600</v>
      </c>
      <c r="K251" s="5">
        <v>320</v>
      </c>
      <c r="X251" s="5">
        <v>1280</v>
      </c>
      <c r="Y251" s="5">
        <v>256</v>
      </c>
      <c r="Z251" s="5">
        <f t="shared" si="3"/>
        <v>1536</v>
      </c>
      <c r="AA251" s="5">
        <v>277</v>
      </c>
    </row>
    <row r="252" spans="2:27" x14ac:dyDescent="0.25">
      <c r="B252" s="6">
        <v>14972791</v>
      </c>
      <c r="C252" s="17">
        <v>0.90486111111111101</v>
      </c>
      <c r="D252" s="11">
        <v>44545</v>
      </c>
      <c r="E252" s="5" t="s">
        <v>31</v>
      </c>
      <c r="F252" s="5">
        <v>6546</v>
      </c>
      <c r="G252" s="5">
        <v>3</v>
      </c>
      <c r="H252" s="5">
        <v>3</v>
      </c>
      <c r="J252" s="5">
        <v>3600</v>
      </c>
      <c r="K252" s="5">
        <v>1188</v>
      </c>
      <c r="X252" s="5">
        <v>2412</v>
      </c>
      <c r="Y252" s="5">
        <f>217.08+217.08</f>
        <v>434.16</v>
      </c>
      <c r="Z252" s="5">
        <f t="shared" si="3"/>
        <v>2846.16</v>
      </c>
      <c r="AA252" s="5">
        <v>277</v>
      </c>
    </row>
    <row r="253" spans="2:27" x14ac:dyDescent="0.25">
      <c r="B253" s="6">
        <v>14756051</v>
      </c>
      <c r="C253" s="17">
        <v>0.8125</v>
      </c>
      <c r="D253" s="11">
        <v>44545</v>
      </c>
      <c r="E253" s="5" t="s">
        <v>31</v>
      </c>
      <c r="F253" s="5">
        <v>6538</v>
      </c>
      <c r="G253" s="5">
        <v>2</v>
      </c>
      <c r="H253" s="5">
        <v>2</v>
      </c>
      <c r="J253" s="5">
        <v>2400</v>
      </c>
      <c r="K253" s="5">
        <v>1200</v>
      </c>
      <c r="X253" s="5">
        <v>1200</v>
      </c>
      <c r="Y253" s="5">
        <v>216</v>
      </c>
      <c r="Z253" s="5">
        <f t="shared" si="3"/>
        <v>1416</v>
      </c>
      <c r="AA253" s="5">
        <v>277</v>
      </c>
    </row>
    <row r="254" spans="2:27" x14ac:dyDescent="0.25">
      <c r="B254" s="6">
        <v>12885951</v>
      </c>
      <c r="C254" s="17">
        <v>0.8208333333333333</v>
      </c>
      <c r="D254" s="11">
        <v>44547</v>
      </c>
      <c r="E254" s="5" t="s">
        <v>55</v>
      </c>
      <c r="F254" s="5">
        <v>3629</v>
      </c>
      <c r="G254" s="5">
        <v>2</v>
      </c>
      <c r="H254" s="5">
        <v>2</v>
      </c>
      <c r="J254" s="5">
        <v>2550</v>
      </c>
      <c r="K254" s="5">
        <v>1275</v>
      </c>
      <c r="X254" s="5">
        <v>2943</v>
      </c>
      <c r="Y254" s="5">
        <v>588</v>
      </c>
      <c r="Z254" s="5">
        <f t="shared" si="3"/>
        <v>3531</v>
      </c>
      <c r="AA254" s="5">
        <v>277</v>
      </c>
    </row>
    <row r="255" spans="2:27" x14ac:dyDescent="0.25">
      <c r="B255" s="6">
        <v>14756051</v>
      </c>
      <c r="C255" s="17">
        <v>0.7583333333333333</v>
      </c>
      <c r="D255" s="11">
        <v>44547</v>
      </c>
      <c r="E255" s="5" t="s">
        <v>55</v>
      </c>
      <c r="F255" s="5">
        <v>3628</v>
      </c>
      <c r="G255" s="5">
        <v>2</v>
      </c>
      <c r="H255" s="5">
        <v>2</v>
      </c>
      <c r="J255" s="5">
        <v>850</v>
      </c>
      <c r="K255" s="5">
        <v>425</v>
      </c>
      <c r="X255" s="5">
        <v>425</v>
      </c>
      <c r="Y255" s="5">
        <v>85</v>
      </c>
      <c r="Z255" s="5">
        <f t="shared" si="3"/>
        <v>510</v>
      </c>
      <c r="AA255" s="5">
        <v>366</v>
      </c>
    </row>
    <row r="256" spans="2:27" x14ac:dyDescent="0.25">
      <c r="B256" s="6">
        <v>14756051</v>
      </c>
      <c r="C256" s="17">
        <v>0.85902777777777783</v>
      </c>
      <c r="D256" s="11">
        <v>44547</v>
      </c>
      <c r="E256" s="5" t="s">
        <v>31</v>
      </c>
      <c r="F256" s="5">
        <v>6622</v>
      </c>
      <c r="G256" s="5">
        <v>1</v>
      </c>
      <c r="H256" s="5">
        <v>1</v>
      </c>
      <c r="J256" s="5">
        <v>500</v>
      </c>
      <c r="K256" s="5">
        <v>250</v>
      </c>
      <c r="X256" s="5">
        <v>250</v>
      </c>
      <c r="Y256" s="5">
        <f>22+23</f>
        <v>45</v>
      </c>
      <c r="Z256" s="5">
        <f t="shared" si="3"/>
        <v>295</v>
      </c>
      <c r="AA256" s="5">
        <v>277</v>
      </c>
    </row>
    <row r="257" spans="2:27" x14ac:dyDescent="0.25">
      <c r="B257" s="6">
        <v>12685951</v>
      </c>
      <c r="C257" s="17">
        <v>0.82013888888888886</v>
      </c>
      <c r="D257" s="11">
        <v>44547</v>
      </c>
      <c r="E257" s="5" t="s">
        <v>31</v>
      </c>
      <c r="F257" s="5">
        <v>6615</v>
      </c>
      <c r="G257" s="5">
        <v>3</v>
      </c>
      <c r="H257" s="5">
        <v>3</v>
      </c>
      <c r="J257" s="5">
        <f>650+525+650</f>
        <v>1825</v>
      </c>
      <c r="K257" s="5">
        <v>602.25</v>
      </c>
      <c r="X257" s="5">
        <v>1222.75</v>
      </c>
      <c r="Y257" s="5">
        <v>220</v>
      </c>
      <c r="Z257" s="5">
        <f t="shared" si="3"/>
        <v>1442.75</v>
      </c>
      <c r="AA257" s="5">
        <v>277</v>
      </c>
    </row>
    <row r="258" spans="2:27" x14ac:dyDescent="0.25">
      <c r="B258" s="6">
        <v>14474651</v>
      </c>
      <c r="C258" s="17">
        <v>0.83680555555555547</v>
      </c>
      <c r="D258" s="11">
        <v>44549</v>
      </c>
      <c r="E258" s="5" t="s">
        <v>55</v>
      </c>
      <c r="F258" s="5">
        <v>3662</v>
      </c>
      <c r="G258" s="5">
        <v>2</v>
      </c>
      <c r="H258" s="5">
        <v>2</v>
      </c>
      <c r="O258" s="5">
        <v>885</v>
      </c>
      <c r="P258" s="5">
        <v>177</v>
      </c>
      <c r="X258" s="5">
        <v>708</v>
      </c>
      <c r="Y258" s="5">
        <v>141</v>
      </c>
      <c r="Z258" s="5">
        <f t="shared" si="3"/>
        <v>849</v>
      </c>
      <c r="AA258" s="5">
        <v>277</v>
      </c>
    </row>
    <row r="259" spans="2:27" x14ac:dyDescent="0.25">
      <c r="B259" s="6">
        <v>12732591</v>
      </c>
      <c r="C259" s="17">
        <v>0.55486111111111114</v>
      </c>
      <c r="D259" s="11">
        <v>44549</v>
      </c>
      <c r="E259" s="5" t="s">
        <v>55</v>
      </c>
      <c r="F259" s="5">
        <v>3654</v>
      </c>
      <c r="G259" s="5">
        <v>2</v>
      </c>
      <c r="H259" s="5">
        <v>2</v>
      </c>
      <c r="O259" s="5">
        <v>1700</v>
      </c>
      <c r="P259" s="5">
        <v>340</v>
      </c>
      <c r="X259" s="5">
        <v>1360</v>
      </c>
      <c r="Y259" s="5">
        <v>272</v>
      </c>
      <c r="Z259" s="5">
        <f t="shared" si="3"/>
        <v>1632</v>
      </c>
      <c r="AA259" s="5">
        <v>277</v>
      </c>
    </row>
    <row r="260" spans="2:27" x14ac:dyDescent="0.25">
      <c r="B260" s="6">
        <v>12690711</v>
      </c>
      <c r="C260" s="17">
        <v>0.9145833333333333</v>
      </c>
      <c r="D260" s="11">
        <v>44549</v>
      </c>
      <c r="E260" s="5" t="s">
        <v>31</v>
      </c>
      <c r="F260" s="5">
        <v>6723</v>
      </c>
      <c r="G260" s="5">
        <v>7</v>
      </c>
      <c r="H260" s="5">
        <v>7</v>
      </c>
      <c r="J260" s="5">
        <v>8400</v>
      </c>
      <c r="K260" s="5">
        <v>4200</v>
      </c>
      <c r="X260" s="5">
        <v>4200</v>
      </c>
      <c r="Y260" s="5">
        <f>378+378</f>
        <v>756</v>
      </c>
      <c r="Z260" s="5">
        <f t="shared" si="3"/>
        <v>4956</v>
      </c>
      <c r="AA260" s="5">
        <v>277</v>
      </c>
    </row>
    <row r="261" spans="2:27" x14ac:dyDescent="0.25">
      <c r="B261" s="6">
        <v>14434651</v>
      </c>
      <c r="C261" s="17">
        <v>0.83888888888888891</v>
      </c>
      <c r="D261" s="11">
        <v>44549</v>
      </c>
      <c r="E261" s="5" t="s">
        <v>31</v>
      </c>
      <c r="F261" s="5">
        <v>6713</v>
      </c>
      <c r="G261" s="5">
        <v>3</v>
      </c>
      <c r="H261" s="5">
        <v>3</v>
      </c>
      <c r="J261" s="5">
        <v>4275</v>
      </c>
      <c r="K261" s="5">
        <v>1410.25</v>
      </c>
      <c r="X261" s="5">
        <v>2864</v>
      </c>
      <c r="Y261" s="5">
        <f>257.78+257.78</f>
        <v>515.55999999999995</v>
      </c>
      <c r="Z261" s="5">
        <f t="shared" si="3"/>
        <v>3379.56</v>
      </c>
      <c r="AA261" s="5">
        <v>277</v>
      </c>
    </row>
    <row r="262" spans="2:27" x14ac:dyDescent="0.25">
      <c r="B262" s="6">
        <v>12177981</v>
      </c>
      <c r="C262" s="17">
        <v>0.81527777777777777</v>
      </c>
      <c r="D262" s="11">
        <v>44549</v>
      </c>
      <c r="E262" s="5" t="s">
        <v>55</v>
      </c>
      <c r="F262" s="5">
        <v>6709</v>
      </c>
      <c r="G262" s="5">
        <v>2</v>
      </c>
      <c r="H262" s="5">
        <v>2</v>
      </c>
      <c r="J262" s="5">
        <f>K262*5</f>
        <v>4650</v>
      </c>
      <c r="K262" s="5">
        <v>930</v>
      </c>
      <c r="X262" s="5">
        <v>3720</v>
      </c>
      <c r="Y262" s="5">
        <f>334.8+334.8</f>
        <v>669.6</v>
      </c>
      <c r="Z262" s="5">
        <f t="shared" si="3"/>
        <v>4389.6000000000004</v>
      </c>
      <c r="AA262" s="5">
        <v>366</v>
      </c>
    </row>
    <row r="263" spans="2:27" x14ac:dyDescent="0.25">
      <c r="B263" s="6">
        <v>12690711</v>
      </c>
      <c r="C263" s="17">
        <v>0.5708333333333333</v>
      </c>
      <c r="D263" s="11">
        <v>44549</v>
      </c>
      <c r="E263" s="5" t="s">
        <v>31</v>
      </c>
      <c r="F263" s="5">
        <v>6694</v>
      </c>
      <c r="G263" s="5">
        <v>2</v>
      </c>
      <c r="H263" s="5">
        <v>2</v>
      </c>
      <c r="J263" s="5">
        <v>2998</v>
      </c>
      <c r="K263" s="5">
        <v>1499</v>
      </c>
      <c r="X263" s="5">
        <v>1499</v>
      </c>
      <c r="Y263" s="5">
        <f>134.91+134.91</f>
        <v>269.82</v>
      </c>
      <c r="Z263" s="5">
        <f t="shared" si="3"/>
        <v>1768.82</v>
      </c>
      <c r="AA263" s="5">
        <v>277</v>
      </c>
    </row>
    <row r="264" spans="2:27" x14ac:dyDescent="0.25">
      <c r="B264" s="6">
        <v>12217781</v>
      </c>
      <c r="C264" s="17">
        <v>0.55069444444444449</v>
      </c>
      <c r="D264" s="11">
        <v>44549</v>
      </c>
      <c r="E264" s="5" t="s">
        <v>31</v>
      </c>
      <c r="F264" s="5">
        <v>6688</v>
      </c>
      <c r="G264" s="5">
        <v>10</v>
      </c>
      <c r="H264" s="5">
        <v>10</v>
      </c>
      <c r="J264" s="5">
        <v>14990</v>
      </c>
      <c r="K264" s="5">
        <v>7795</v>
      </c>
      <c r="X264" s="5">
        <v>7795</v>
      </c>
      <c r="Y264" s="5">
        <f>701.55+701.55</f>
        <v>1403.1</v>
      </c>
      <c r="Z264" s="5">
        <f t="shared" si="3"/>
        <v>9198.1</v>
      </c>
      <c r="AA264" s="5">
        <v>277</v>
      </c>
    </row>
    <row r="265" spans="2:27" x14ac:dyDescent="0.25">
      <c r="B265" s="6">
        <v>12000000</v>
      </c>
      <c r="C265" s="17">
        <v>0.56805555555555554</v>
      </c>
      <c r="D265" s="11">
        <v>44550</v>
      </c>
      <c r="E265" s="5" t="s">
        <v>31</v>
      </c>
      <c r="F265" s="5">
        <v>6740</v>
      </c>
      <c r="G265" s="5">
        <v>1</v>
      </c>
      <c r="H265" s="5">
        <v>1</v>
      </c>
      <c r="J265" s="5">
        <v>1050</v>
      </c>
      <c r="K265" s="5">
        <v>525</v>
      </c>
      <c r="X265" s="5">
        <v>525</v>
      </c>
      <c r="Y265" s="5">
        <f>47.25+47.25</f>
        <v>94.5</v>
      </c>
      <c r="Z265" s="5">
        <f t="shared" si="3"/>
        <v>619.5</v>
      </c>
      <c r="AA265" s="5">
        <v>312</v>
      </c>
    </row>
    <row r="266" spans="2:27" x14ac:dyDescent="0.25">
      <c r="B266" s="6">
        <v>12745171</v>
      </c>
      <c r="C266" s="17" t="s">
        <v>106</v>
      </c>
      <c r="D266" s="11">
        <v>44551</v>
      </c>
      <c r="E266" s="5" t="s">
        <v>55</v>
      </c>
      <c r="F266" s="5">
        <v>3699</v>
      </c>
      <c r="G266" s="5">
        <v>2</v>
      </c>
      <c r="H266" s="5">
        <v>2</v>
      </c>
      <c r="O266" s="5">
        <f>P266*5</f>
        <v>2455</v>
      </c>
      <c r="P266" s="5">
        <v>491</v>
      </c>
      <c r="X266" s="5">
        <v>1964</v>
      </c>
      <c r="Y266" s="5">
        <v>392.8</v>
      </c>
      <c r="Z266" s="5">
        <f t="shared" si="3"/>
        <v>2356.8000000000002</v>
      </c>
      <c r="AA266" s="5">
        <v>277</v>
      </c>
    </row>
    <row r="267" spans="2:27" x14ac:dyDescent="0.25">
      <c r="B267" s="6">
        <v>12141491</v>
      </c>
      <c r="C267" s="17">
        <v>0.87083333333333324</v>
      </c>
      <c r="D267" s="11">
        <v>44551</v>
      </c>
      <c r="E267" s="5" t="s">
        <v>55</v>
      </c>
      <c r="F267" s="5">
        <v>3694</v>
      </c>
      <c r="G267" s="5">
        <v>2</v>
      </c>
      <c r="H267" s="5">
        <v>2</v>
      </c>
      <c r="O267" s="5">
        <v>4510</v>
      </c>
      <c r="P267" s="5">
        <v>1810</v>
      </c>
      <c r="X267" s="5">
        <v>4510</v>
      </c>
      <c r="Y267" s="5">
        <v>902</v>
      </c>
      <c r="Z267" s="5">
        <f t="shared" si="3"/>
        <v>5412</v>
      </c>
      <c r="AA267" s="5">
        <v>277</v>
      </c>
    </row>
    <row r="268" spans="2:27" x14ac:dyDescent="0.25">
      <c r="B268" s="6">
        <v>14297891</v>
      </c>
      <c r="C268" s="17">
        <v>0.8666666666666667</v>
      </c>
      <c r="D268" s="11">
        <v>44551</v>
      </c>
      <c r="E268" s="5" t="s">
        <v>55</v>
      </c>
      <c r="F268" s="5">
        <v>3693</v>
      </c>
      <c r="G268" s="5">
        <v>1</v>
      </c>
      <c r="H268" s="5">
        <v>1</v>
      </c>
      <c r="O268" s="5">
        <v>1300</v>
      </c>
      <c r="P268" s="5">
        <v>650</v>
      </c>
      <c r="X268" s="5">
        <v>650</v>
      </c>
      <c r="Y268" s="5">
        <v>130</v>
      </c>
      <c r="Z268" s="5">
        <f t="shared" ref="Z268:Z331" si="4">X268+Y268</f>
        <v>780</v>
      </c>
      <c r="AA268" s="5">
        <v>277</v>
      </c>
    </row>
    <row r="269" spans="2:27" x14ac:dyDescent="0.25">
      <c r="B269" s="6">
        <v>12441031</v>
      </c>
      <c r="C269" s="17">
        <v>0.79375000000000007</v>
      </c>
      <c r="D269" s="11">
        <v>44551</v>
      </c>
      <c r="E269" s="5" t="s">
        <v>55</v>
      </c>
      <c r="F269" s="5">
        <v>3690</v>
      </c>
      <c r="G269" s="5">
        <v>3</v>
      </c>
      <c r="H269" s="5">
        <v>3</v>
      </c>
      <c r="O269" s="5">
        <v>4050</v>
      </c>
      <c r="P269" s="5">
        <v>2025</v>
      </c>
      <c r="X269" s="5">
        <v>2025</v>
      </c>
      <c r="Y269" s="5">
        <v>405</v>
      </c>
      <c r="Z269" s="5">
        <f t="shared" si="4"/>
        <v>2430</v>
      </c>
      <c r="AA269" s="5">
        <v>362</v>
      </c>
    </row>
    <row r="270" spans="2:27" x14ac:dyDescent="0.25">
      <c r="B270" s="6" t="s">
        <v>107</v>
      </c>
      <c r="C270" s="17">
        <v>0.9194444444444444</v>
      </c>
      <c r="D270" s="11">
        <v>44551</v>
      </c>
      <c r="E270" s="5" t="s">
        <v>31</v>
      </c>
      <c r="F270" s="5">
        <v>6781</v>
      </c>
      <c r="G270" s="5">
        <v>8</v>
      </c>
      <c r="H270" s="5">
        <v>8</v>
      </c>
      <c r="J270" s="5">
        <v>12000</v>
      </c>
      <c r="K270" s="5">
        <v>6000</v>
      </c>
      <c r="X270" s="5">
        <v>6525</v>
      </c>
      <c r="Y270" s="5">
        <f>587+587.5</f>
        <v>1174.5</v>
      </c>
      <c r="Z270" s="5">
        <f t="shared" si="4"/>
        <v>7699.5</v>
      </c>
      <c r="AA270" s="5">
        <v>277</v>
      </c>
    </row>
    <row r="271" spans="2:27" x14ac:dyDescent="0.25">
      <c r="B271" s="6">
        <v>12141491</v>
      </c>
      <c r="C271" s="17">
        <v>0.87638888888888899</v>
      </c>
      <c r="D271" s="11">
        <v>44551</v>
      </c>
      <c r="E271" s="5" t="s">
        <v>31</v>
      </c>
      <c r="F271" s="5">
        <v>6779</v>
      </c>
      <c r="G271" s="5">
        <v>2</v>
      </c>
      <c r="H271" s="5">
        <v>2</v>
      </c>
      <c r="J271" s="5">
        <v>4600</v>
      </c>
      <c r="K271" s="5">
        <v>2300</v>
      </c>
      <c r="O271" s="5">
        <v>350</v>
      </c>
      <c r="P271" s="5">
        <v>175</v>
      </c>
      <c r="X271" s="5">
        <v>2475</v>
      </c>
      <c r="Y271" s="5">
        <f>222.75+222.75</f>
        <v>445.5</v>
      </c>
      <c r="Z271" s="5">
        <f t="shared" si="4"/>
        <v>2920.5</v>
      </c>
      <c r="AA271" s="5">
        <v>277</v>
      </c>
    </row>
    <row r="272" spans="2:27" x14ac:dyDescent="0.25">
      <c r="B272" s="6">
        <v>12397391</v>
      </c>
      <c r="C272" s="17">
        <v>0.86805555555555547</v>
      </c>
      <c r="D272" s="11">
        <v>44551</v>
      </c>
      <c r="E272" s="5" t="s">
        <v>31</v>
      </c>
      <c r="F272" s="5">
        <v>6776</v>
      </c>
      <c r="G272" s="5">
        <v>8</v>
      </c>
      <c r="H272" s="5">
        <v>8</v>
      </c>
      <c r="J272" s="5">
        <v>8400</v>
      </c>
      <c r="K272" s="5">
        <v>4200</v>
      </c>
      <c r="L272" s="5">
        <v>700</v>
      </c>
      <c r="M272" s="5">
        <v>350</v>
      </c>
      <c r="X272" s="5">
        <v>4550</v>
      </c>
      <c r="Y272" s="5">
        <f>409+410</f>
        <v>819</v>
      </c>
      <c r="Z272" s="5">
        <f t="shared" si="4"/>
        <v>5369</v>
      </c>
      <c r="AA272" s="5">
        <v>277</v>
      </c>
    </row>
    <row r="273" spans="2:27" x14ac:dyDescent="0.25">
      <c r="B273" s="6">
        <v>12000000</v>
      </c>
      <c r="C273" s="17">
        <v>0.85972222222222217</v>
      </c>
      <c r="D273" s="11">
        <v>44551</v>
      </c>
      <c r="E273" s="5" t="s">
        <v>31</v>
      </c>
      <c r="F273" s="5">
        <v>6775</v>
      </c>
      <c r="G273" s="5">
        <v>3</v>
      </c>
      <c r="H273" s="5">
        <v>3</v>
      </c>
      <c r="J273" s="5">
        <v>3750</v>
      </c>
      <c r="K273" s="5">
        <v>1875</v>
      </c>
      <c r="L273" s="5">
        <v>350</v>
      </c>
      <c r="M273" s="5">
        <v>175</v>
      </c>
      <c r="X273" s="5">
        <v>2419</v>
      </c>
      <c r="Y273" s="5">
        <f>184.5+184.5</f>
        <v>369</v>
      </c>
      <c r="Z273" s="5">
        <f t="shared" si="4"/>
        <v>2788</v>
      </c>
      <c r="AA273" s="5">
        <v>277</v>
      </c>
    </row>
    <row r="274" spans="2:27" x14ac:dyDescent="0.25">
      <c r="B274" s="6">
        <v>12441053</v>
      </c>
      <c r="C274" s="17">
        <v>0.7944444444444444</v>
      </c>
      <c r="D274" s="11">
        <v>44551</v>
      </c>
      <c r="E274" s="5" t="s">
        <v>31</v>
      </c>
      <c r="F274" s="5">
        <v>6772</v>
      </c>
      <c r="G274" s="5">
        <v>1</v>
      </c>
      <c r="H274" s="5">
        <v>1</v>
      </c>
      <c r="J274" s="5">
        <f>425+150</f>
        <v>575</v>
      </c>
      <c r="K274" s="5">
        <v>189.75</v>
      </c>
      <c r="X274" s="5">
        <v>385.25</v>
      </c>
      <c r="Y274" s="5">
        <f>34.67+34.67</f>
        <v>69.34</v>
      </c>
      <c r="Z274" s="5">
        <f t="shared" si="4"/>
        <v>454.59000000000003</v>
      </c>
      <c r="AA274" s="5">
        <v>362</v>
      </c>
    </row>
    <row r="275" spans="2:27" x14ac:dyDescent="0.25">
      <c r="B275" s="6">
        <v>12690711</v>
      </c>
      <c r="C275" s="17">
        <v>0.59930555555555554</v>
      </c>
      <c r="D275" s="11">
        <v>44551</v>
      </c>
      <c r="E275" s="5" t="s">
        <v>31</v>
      </c>
      <c r="F275" s="5">
        <v>6764</v>
      </c>
      <c r="G275" s="5">
        <v>2</v>
      </c>
      <c r="H275" s="5">
        <v>2</v>
      </c>
      <c r="J275" s="5">
        <v>1850</v>
      </c>
      <c r="K275" s="5">
        <v>912.5</v>
      </c>
      <c r="X275" s="5">
        <v>912.5</v>
      </c>
      <c r="Y275" s="5">
        <f>82.13+82.13</f>
        <v>164.26</v>
      </c>
      <c r="Z275" s="5">
        <f t="shared" si="4"/>
        <v>1076.76</v>
      </c>
      <c r="AA275" s="5">
        <v>330</v>
      </c>
    </row>
    <row r="276" spans="2:27" x14ac:dyDescent="0.25">
      <c r="B276" s="6">
        <v>14323221</v>
      </c>
      <c r="C276" s="17">
        <v>0.61111111111111105</v>
      </c>
      <c r="D276" s="11">
        <v>44553</v>
      </c>
      <c r="E276" s="5" t="s">
        <v>31</v>
      </c>
      <c r="F276" s="5">
        <v>6835</v>
      </c>
      <c r="G276" s="5">
        <v>2</v>
      </c>
      <c r="H276" s="5">
        <v>2</v>
      </c>
      <c r="J276" s="5">
        <f>K276*2</f>
        <v>2300</v>
      </c>
      <c r="K276" s="5">
        <v>1150</v>
      </c>
      <c r="X276" s="5">
        <v>1150</v>
      </c>
      <c r="Y276" s="5">
        <f>103.5+103.5</f>
        <v>207</v>
      </c>
      <c r="Z276" s="5">
        <f t="shared" si="4"/>
        <v>1357</v>
      </c>
      <c r="AA276" s="5">
        <v>277</v>
      </c>
    </row>
    <row r="277" spans="2:27" x14ac:dyDescent="0.25">
      <c r="B277" s="6">
        <v>12217781</v>
      </c>
      <c r="C277" s="17">
        <v>0.65416666666666667</v>
      </c>
      <c r="D277" s="11">
        <v>44554</v>
      </c>
      <c r="E277" s="5" t="s">
        <v>31</v>
      </c>
      <c r="F277" s="5">
        <v>6874</v>
      </c>
      <c r="G277" s="5">
        <v>2</v>
      </c>
      <c r="H277" s="5">
        <v>2</v>
      </c>
      <c r="J277" s="5">
        <v>2000</v>
      </c>
      <c r="K277" s="5">
        <v>1000</v>
      </c>
      <c r="X277" s="5">
        <v>1000</v>
      </c>
      <c r="Y277" s="5">
        <v>180</v>
      </c>
      <c r="Z277" s="5">
        <f t="shared" si="4"/>
        <v>1180</v>
      </c>
      <c r="AA277" s="5">
        <v>277</v>
      </c>
    </row>
    <row r="278" spans="2:27" x14ac:dyDescent="0.25">
      <c r="B278" s="6">
        <v>14962871</v>
      </c>
      <c r="C278" s="17">
        <v>0.89930555555555547</v>
      </c>
      <c r="D278" s="11">
        <v>44555</v>
      </c>
      <c r="E278" s="5" t="s">
        <v>55</v>
      </c>
      <c r="F278" s="5">
        <v>3751</v>
      </c>
      <c r="G278" s="5">
        <v>2</v>
      </c>
      <c r="H278" s="5">
        <v>2</v>
      </c>
      <c r="O278" s="5">
        <v>4000</v>
      </c>
      <c r="P278" s="5">
        <v>800</v>
      </c>
      <c r="X278" s="5">
        <v>3200</v>
      </c>
      <c r="Y278" s="5">
        <v>640</v>
      </c>
      <c r="Z278" s="5">
        <f t="shared" si="4"/>
        <v>3840</v>
      </c>
      <c r="AA278" s="5">
        <v>277</v>
      </c>
    </row>
    <row r="279" spans="2:27" x14ac:dyDescent="0.25">
      <c r="B279" s="6">
        <v>14707201</v>
      </c>
      <c r="C279" s="17">
        <v>0.59791666666666665</v>
      </c>
      <c r="D279" s="11">
        <v>44555</v>
      </c>
      <c r="E279" s="5" t="s">
        <v>31</v>
      </c>
      <c r="F279" s="5">
        <v>6926</v>
      </c>
      <c r="G279" s="5">
        <v>4</v>
      </c>
      <c r="H279" s="5">
        <v>4</v>
      </c>
      <c r="J279" s="5">
        <v>6396</v>
      </c>
      <c r="K279" s="5">
        <v>3198</v>
      </c>
      <c r="X279" s="5">
        <v>3198</v>
      </c>
      <c r="Y279" s="5">
        <f>287.82+287.82</f>
        <v>575.64</v>
      </c>
      <c r="Z279" s="5">
        <f t="shared" si="4"/>
        <v>3773.64</v>
      </c>
      <c r="AA279" s="5">
        <v>277</v>
      </c>
    </row>
    <row r="280" spans="2:27" x14ac:dyDescent="0.25">
      <c r="B280" s="6">
        <v>14779981</v>
      </c>
      <c r="C280" s="17">
        <v>0.44791666666666669</v>
      </c>
      <c r="D280" s="11">
        <v>44556</v>
      </c>
      <c r="E280" s="5" t="s">
        <v>31</v>
      </c>
      <c r="F280" s="5">
        <v>6972</v>
      </c>
      <c r="G280" s="5">
        <v>2</v>
      </c>
      <c r="H280" s="5">
        <v>2</v>
      </c>
      <c r="J280" s="5">
        <v>1398</v>
      </c>
      <c r="K280" s="5">
        <v>699</v>
      </c>
      <c r="X280" s="5">
        <v>699</v>
      </c>
      <c r="Y280" s="5">
        <f>62.91+62.91</f>
        <v>125.82</v>
      </c>
      <c r="Z280" s="5">
        <f t="shared" si="4"/>
        <v>824.81999999999994</v>
      </c>
      <c r="AA280" s="5">
        <v>277</v>
      </c>
    </row>
    <row r="281" spans="2:27" x14ac:dyDescent="0.25">
      <c r="B281" s="6">
        <v>12443791</v>
      </c>
      <c r="C281" s="17">
        <v>0.94374999999999998</v>
      </c>
      <c r="D281" s="11">
        <v>44558</v>
      </c>
      <c r="E281" s="5" t="s">
        <v>55</v>
      </c>
      <c r="F281" s="5">
        <v>3796</v>
      </c>
      <c r="G281" s="5">
        <v>3</v>
      </c>
      <c r="H281" s="5">
        <v>3</v>
      </c>
      <c r="O281" s="5">
        <v>3960</v>
      </c>
      <c r="P281" s="5">
        <v>1980</v>
      </c>
      <c r="X281" s="5">
        <v>1980</v>
      </c>
      <c r="Y281" s="5">
        <v>396</v>
      </c>
      <c r="Z281" s="5">
        <f t="shared" si="4"/>
        <v>2376</v>
      </c>
      <c r="AA281" s="5">
        <v>277</v>
      </c>
    </row>
    <row r="282" spans="2:27" x14ac:dyDescent="0.25">
      <c r="B282" s="6">
        <v>12397391</v>
      </c>
      <c r="C282" s="17">
        <v>0.86249999999999993</v>
      </c>
      <c r="D282" s="11">
        <v>44558</v>
      </c>
      <c r="E282" s="5" t="s">
        <v>55</v>
      </c>
      <c r="F282" s="5">
        <v>3785</v>
      </c>
      <c r="G282" s="5">
        <v>2</v>
      </c>
      <c r="H282" s="5">
        <v>2</v>
      </c>
      <c r="O282" s="5">
        <f>P282*2</f>
        <v>1345</v>
      </c>
      <c r="P282" s="5">
        <v>672.5</v>
      </c>
      <c r="X282" s="5">
        <v>672.5</v>
      </c>
      <c r="Y282" s="5">
        <v>134</v>
      </c>
      <c r="Z282" s="5">
        <f t="shared" si="4"/>
        <v>806.5</v>
      </c>
      <c r="AA282" s="5">
        <v>366</v>
      </c>
    </row>
    <row r="283" spans="2:27" x14ac:dyDescent="0.25">
      <c r="B283" s="6">
        <v>12443791</v>
      </c>
      <c r="C283" s="17">
        <v>0.8833333333333333</v>
      </c>
      <c r="D283" s="11">
        <v>44558</v>
      </c>
      <c r="E283" s="5" t="s">
        <v>55</v>
      </c>
      <c r="F283" s="5">
        <v>6086</v>
      </c>
      <c r="G283" s="5">
        <v>2</v>
      </c>
      <c r="H283" s="5">
        <v>2</v>
      </c>
      <c r="J283" s="5">
        <v>3600</v>
      </c>
      <c r="K283" s="5">
        <v>1800</v>
      </c>
      <c r="X283" s="5">
        <v>1800</v>
      </c>
      <c r="Y283" s="5">
        <v>324</v>
      </c>
      <c r="Z283" s="5">
        <f t="shared" si="4"/>
        <v>2124</v>
      </c>
      <c r="AA283" s="5">
        <v>277</v>
      </c>
    </row>
    <row r="284" spans="2:27" x14ac:dyDescent="0.25">
      <c r="B284" s="6" t="s">
        <v>81</v>
      </c>
      <c r="C284" s="17">
        <v>0.8833333333333333</v>
      </c>
      <c r="D284" s="11">
        <v>44558</v>
      </c>
      <c r="E284" s="5" t="s">
        <v>31</v>
      </c>
      <c r="F284" s="5">
        <v>6074</v>
      </c>
      <c r="G284" s="5">
        <v>6</v>
      </c>
      <c r="H284" s="5">
        <v>6</v>
      </c>
      <c r="J284" s="5">
        <f>K284*2</f>
        <v>6391.94</v>
      </c>
      <c r="K284" s="5">
        <v>3195.97</v>
      </c>
      <c r="L284" s="5">
        <v>1400</v>
      </c>
      <c r="M284" s="5">
        <v>700</v>
      </c>
      <c r="X284" s="5">
        <v>3895.97</v>
      </c>
      <c r="Y284" s="5">
        <f>350.64+350.64</f>
        <v>701.28</v>
      </c>
      <c r="Z284" s="5">
        <f t="shared" si="4"/>
        <v>4597.25</v>
      </c>
      <c r="AA284" s="5">
        <v>277</v>
      </c>
    </row>
    <row r="285" spans="2:27" x14ac:dyDescent="0.25">
      <c r="B285" s="6">
        <v>12397391</v>
      </c>
      <c r="C285" s="17">
        <v>0.86249999999999993</v>
      </c>
      <c r="D285" s="11">
        <v>44558</v>
      </c>
      <c r="E285" s="5" t="s">
        <v>31</v>
      </c>
      <c r="F285" s="5">
        <v>6072</v>
      </c>
      <c r="G285" s="5">
        <v>7</v>
      </c>
      <c r="H285" s="5">
        <v>7</v>
      </c>
      <c r="J285" s="5">
        <v>7200</v>
      </c>
      <c r="K285" s="5">
        <v>3600</v>
      </c>
      <c r="L285" s="5">
        <v>1400</v>
      </c>
      <c r="M285" s="5">
        <v>700</v>
      </c>
      <c r="X285" s="5">
        <v>4300</v>
      </c>
      <c r="Y285" s="5">
        <f>387+387</f>
        <v>774</v>
      </c>
      <c r="Z285" s="5">
        <f t="shared" si="4"/>
        <v>5074</v>
      </c>
      <c r="AA285" s="5">
        <v>277</v>
      </c>
    </row>
    <row r="286" spans="2:27" x14ac:dyDescent="0.25">
      <c r="B286" s="6">
        <v>14702981</v>
      </c>
      <c r="C286" s="17">
        <v>0.85416666666666663</v>
      </c>
      <c r="D286" s="11">
        <v>44558</v>
      </c>
      <c r="E286" s="5" t="s">
        <v>31</v>
      </c>
      <c r="F286" s="5">
        <v>6067</v>
      </c>
      <c r="G286" s="5">
        <v>4</v>
      </c>
      <c r="H286" s="5">
        <v>4</v>
      </c>
      <c r="J286" s="5">
        <f>K286*2</f>
        <v>6916.94</v>
      </c>
      <c r="K286" s="5">
        <v>3458.47</v>
      </c>
      <c r="X286" s="5">
        <v>3458.87</v>
      </c>
      <c r="Y286" s="5">
        <f>311.26+311.26</f>
        <v>622.52</v>
      </c>
      <c r="Z286" s="5">
        <f t="shared" si="4"/>
        <v>4081.39</v>
      </c>
      <c r="AA286" s="5">
        <v>277</v>
      </c>
    </row>
    <row r="287" spans="2:27" x14ac:dyDescent="0.25">
      <c r="B287" s="6" t="s">
        <v>27</v>
      </c>
      <c r="C287" s="17">
        <v>0.8652777777777777</v>
      </c>
      <c r="D287" s="11">
        <v>44559</v>
      </c>
      <c r="E287" s="5" t="s">
        <v>31</v>
      </c>
      <c r="F287" s="5">
        <v>6112</v>
      </c>
      <c r="G287" s="5">
        <v>6</v>
      </c>
      <c r="H287" s="5">
        <v>6</v>
      </c>
      <c r="J287" s="5">
        <v>7200</v>
      </c>
      <c r="K287" s="5">
        <v>3600</v>
      </c>
      <c r="X287" s="5">
        <v>3600</v>
      </c>
      <c r="Y287" s="5">
        <f>324+324</f>
        <v>648</v>
      </c>
      <c r="Z287" s="5">
        <f t="shared" si="4"/>
        <v>4248</v>
      </c>
      <c r="AA287" s="5">
        <v>277</v>
      </c>
    </row>
    <row r="288" spans="2:27" x14ac:dyDescent="0.25">
      <c r="B288" s="6">
        <v>14323229</v>
      </c>
      <c r="C288" s="17">
        <v>0.60555555555555551</v>
      </c>
      <c r="D288" s="11">
        <v>44561</v>
      </c>
      <c r="E288" s="5" t="s">
        <v>31</v>
      </c>
      <c r="F288" s="5">
        <v>6179</v>
      </c>
      <c r="G288" s="5">
        <v>2</v>
      </c>
      <c r="H288" s="5">
        <v>2</v>
      </c>
      <c r="J288" s="5">
        <f>+K288*2</f>
        <v>1158.48</v>
      </c>
      <c r="K288" s="5">
        <v>579.24</v>
      </c>
      <c r="X288" s="5">
        <v>579.24</v>
      </c>
      <c r="Y288" s="5">
        <f>52.13+52.13</f>
        <v>104.26</v>
      </c>
      <c r="Z288" s="5">
        <f t="shared" si="4"/>
        <v>683.5</v>
      </c>
      <c r="AA288" s="5">
        <v>277</v>
      </c>
    </row>
    <row r="289" spans="2:27" x14ac:dyDescent="0.25">
      <c r="B289" s="6">
        <v>14323221</v>
      </c>
      <c r="C289" s="17">
        <v>0.71458333333333324</v>
      </c>
      <c r="D289" s="11">
        <v>44562</v>
      </c>
      <c r="E289" s="5" t="s">
        <v>31</v>
      </c>
      <c r="F289" s="5">
        <v>6245</v>
      </c>
      <c r="G289" s="5">
        <v>2</v>
      </c>
      <c r="H289" s="5">
        <v>2</v>
      </c>
      <c r="J289" s="5">
        <v>300</v>
      </c>
      <c r="K289" s="5">
        <v>150</v>
      </c>
      <c r="L289" s="5">
        <v>350</v>
      </c>
      <c r="M289" s="5">
        <v>175</v>
      </c>
      <c r="X289" s="5">
        <v>325</v>
      </c>
      <c r="Y289" s="5">
        <f>29.65+29.65</f>
        <v>59.3</v>
      </c>
      <c r="Z289" s="5">
        <f t="shared" si="4"/>
        <v>384.3</v>
      </c>
      <c r="AA289" s="5">
        <v>277</v>
      </c>
    </row>
    <row r="290" spans="2:27" x14ac:dyDescent="0.25">
      <c r="B290" s="6">
        <v>12534851</v>
      </c>
      <c r="C290" s="17">
        <v>0.63750000000000007</v>
      </c>
      <c r="D290" s="11">
        <v>44563</v>
      </c>
      <c r="E290" s="5" t="s">
        <v>31</v>
      </c>
      <c r="F290" s="5">
        <v>6287</v>
      </c>
      <c r="G290" s="5">
        <v>1</v>
      </c>
      <c r="H290" s="5">
        <v>1</v>
      </c>
      <c r="J290" s="5">
        <v>2998</v>
      </c>
      <c r="K290" s="5">
        <v>599.6</v>
      </c>
      <c r="X290" s="5">
        <v>2398</v>
      </c>
      <c r="Y290" s="5">
        <f>215.86+215.86</f>
        <v>431.72</v>
      </c>
      <c r="Z290" s="5">
        <f t="shared" si="4"/>
        <v>2829.7200000000003</v>
      </c>
      <c r="AA290" s="5">
        <v>371</v>
      </c>
    </row>
    <row r="291" spans="2:27" x14ac:dyDescent="0.25">
      <c r="B291" s="6">
        <v>14658341</v>
      </c>
      <c r="C291" s="17">
        <v>0.58472222222222225</v>
      </c>
      <c r="D291" s="11">
        <v>44563</v>
      </c>
      <c r="E291" s="5" t="s">
        <v>31</v>
      </c>
      <c r="F291" s="5">
        <v>6279</v>
      </c>
      <c r="G291" s="5">
        <v>5</v>
      </c>
      <c r="H291" s="5">
        <v>5</v>
      </c>
      <c r="J291" s="5">
        <v>1499</v>
      </c>
      <c r="K291" s="5">
        <v>299.8</v>
      </c>
      <c r="X291" s="5">
        <v>1199</v>
      </c>
      <c r="Y291" s="5">
        <f>107.92+107.92</f>
        <v>215.84</v>
      </c>
      <c r="Z291" s="5">
        <f t="shared" si="4"/>
        <v>1414.84</v>
      </c>
      <c r="AA291" s="5">
        <v>371</v>
      </c>
    </row>
    <row r="292" spans="2:27" x14ac:dyDescent="0.25">
      <c r="B292" s="6" t="s">
        <v>108</v>
      </c>
      <c r="C292" s="17">
        <v>0.83819444444444446</v>
      </c>
      <c r="D292" s="11">
        <v>44563</v>
      </c>
      <c r="E292" s="5" t="s">
        <v>31</v>
      </c>
      <c r="F292" s="5">
        <v>6301</v>
      </c>
      <c r="G292" s="5">
        <v>5</v>
      </c>
      <c r="H292" s="5">
        <v>5</v>
      </c>
      <c r="J292" s="5">
        <v>3600</v>
      </c>
      <c r="K292" s="5">
        <v>1800</v>
      </c>
      <c r="L292" s="5">
        <v>350</v>
      </c>
      <c r="M292" s="5">
        <v>70</v>
      </c>
      <c r="X292" s="5">
        <v>1870</v>
      </c>
      <c r="Y292" s="5">
        <f>187.2+187.2</f>
        <v>374.4</v>
      </c>
      <c r="Z292" s="5">
        <f t="shared" si="4"/>
        <v>2244.4</v>
      </c>
      <c r="AA292" s="5">
        <v>371</v>
      </c>
    </row>
    <row r="293" spans="2:27" x14ac:dyDescent="0.25">
      <c r="B293" s="6">
        <v>14323221</v>
      </c>
      <c r="C293" s="17">
        <v>0.77708333333333324</v>
      </c>
      <c r="D293" s="11">
        <v>44564</v>
      </c>
      <c r="E293" s="5" t="s">
        <v>31</v>
      </c>
      <c r="F293" s="5">
        <v>6330</v>
      </c>
      <c r="G293" s="5">
        <v>1</v>
      </c>
      <c r="H293" s="5">
        <v>1</v>
      </c>
      <c r="J293" s="5">
        <v>200</v>
      </c>
      <c r="K293" s="5">
        <v>100</v>
      </c>
      <c r="L293" s="5">
        <v>350</v>
      </c>
      <c r="M293" s="5">
        <v>70</v>
      </c>
      <c r="X293" s="5">
        <v>380</v>
      </c>
      <c r="Y293" s="5">
        <f>34.2+34.2</f>
        <v>68.400000000000006</v>
      </c>
      <c r="Z293" s="5">
        <f t="shared" si="4"/>
        <v>448.4</v>
      </c>
      <c r="AA293" s="5">
        <v>371</v>
      </c>
    </row>
    <row r="294" spans="2:27" x14ac:dyDescent="0.25">
      <c r="B294" s="6">
        <v>14737181</v>
      </c>
      <c r="C294" s="17">
        <v>0.95416666666666661</v>
      </c>
      <c r="D294" s="11">
        <v>44565</v>
      </c>
      <c r="E294" s="5" t="s">
        <v>31</v>
      </c>
      <c r="F294" s="5">
        <v>6365</v>
      </c>
      <c r="G294" s="5">
        <v>2</v>
      </c>
      <c r="H294" s="5">
        <v>2</v>
      </c>
      <c r="J294" s="5">
        <v>2400</v>
      </c>
      <c r="K294" s="5">
        <v>1200</v>
      </c>
      <c r="X294" s="5">
        <v>1200</v>
      </c>
      <c r="Y294" s="5">
        <f>108+108</f>
        <v>216</v>
      </c>
      <c r="Z294" s="5">
        <f t="shared" si="4"/>
        <v>1416</v>
      </c>
      <c r="AA294" s="5">
        <v>371</v>
      </c>
    </row>
    <row r="295" spans="2:27" x14ac:dyDescent="0.25">
      <c r="B295" s="6">
        <v>14986761</v>
      </c>
      <c r="C295" s="17">
        <v>0.82708333333333339</v>
      </c>
      <c r="D295" s="11">
        <v>44568</v>
      </c>
      <c r="E295" s="5" t="s">
        <v>55</v>
      </c>
      <c r="F295" s="5">
        <v>3903</v>
      </c>
      <c r="G295" s="5">
        <v>3</v>
      </c>
      <c r="H295" s="5">
        <v>3</v>
      </c>
      <c r="O295" s="5">
        <v>3540</v>
      </c>
      <c r="P295" s="5">
        <v>1770</v>
      </c>
      <c r="X295" s="5">
        <v>1770</v>
      </c>
      <c r="Y295" s="5">
        <v>354</v>
      </c>
      <c r="Z295" s="5">
        <f t="shared" si="4"/>
        <v>2124</v>
      </c>
      <c r="AA295" s="5">
        <v>371</v>
      </c>
    </row>
    <row r="296" spans="2:27" x14ac:dyDescent="0.25">
      <c r="B296" s="6">
        <v>12000000</v>
      </c>
      <c r="C296" s="17">
        <v>0.83263888888888893</v>
      </c>
      <c r="D296" s="11">
        <v>44568</v>
      </c>
      <c r="E296" s="5" t="s">
        <v>31</v>
      </c>
      <c r="F296" s="5">
        <v>6424</v>
      </c>
      <c r="G296" s="5">
        <v>2</v>
      </c>
      <c r="H296" s="5">
        <v>2</v>
      </c>
      <c r="J296" s="5">
        <f>K296*2</f>
        <v>2033.48</v>
      </c>
      <c r="K296" s="5">
        <v>1016.74</v>
      </c>
      <c r="X296" s="5">
        <v>1016.73</v>
      </c>
      <c r="Y296" s="5">
        <f>91.51+91.51</f>
        <v>183.02</v>
      </c>
      <c r="Z296" s="5">
        <f t="shared" si="4"/>
        <v>1199.75</v>
      </c>
      <c r="AA296" s="5">
        <v>371</v>
      </c>
    </row>
    <row r="297" spans="2:27" x14ac:dyDescent="0.25">
      <c r="B297" s="6">
        <v>14086761</v>
      </c>
      <c r="C297" s="17">
        <v>0.83124999999999993</v>
      </c>
      <c r="D297" s="11">
        <v>44568</v>
      </c>
      <c r="E297" s="5" t="s">
        <v>31</v>
      </c>
      <c r="F297" s="5">
        <v>6423</v>
      </c>
      <c r="G297" s="5">
        <v>1</v>
      </c>
      <c r="H297" s="5">
        <v>1</v>
      </c>
      <c r="J297" s="5">
        <v>500</v>
      </c>
      <c r="K297" s="5">
        <v>250</v>
      </c>
      <c r="X297" s="5">
        <v>250</v>
      </c>
      <c r="Y297" s="5">
        <f>22.5+22.5</f>
        <v>45</v>
      </c>
      <c r="Z297" s="5">
        <f t="shared" si="4"/>
        <v>295</v>
      </c>
      <c r="AA297" s="5">
        <v>362</v>
      </c>
    </row>
    <row r="298" spans="2:27" x14ac:dyDescent="0.25">
      <c r="B298" s="6" t="s">
        <v>109</v>
      </c>
      <c r="C298" s="17">
        <v>0.64097222222222217</v>
      </c>
      <c r="D298" s="11">
        <v>44568</v>
      </c>
      <c r="E298" s="5" t="s">
        <v>31</v>
      </c>
      <c r="F298" s="5">
        <v>6422</v>
      </c>
      <c r="G298" s="5">
        <v>10</v>
      </c>
      <c r="H298" s="5">
        <v>10</v>
      </c>
      <c r="J298" s="5">
        <v>9990</v>
      </c>
      <c r="K298" s="5">
        <v>4995</v>
      </c>
      <c r="X298" s="5">
        <v>5287</v>
      </c>
      <c r="Y298" s="5">
        <f>475.86+475.86</f>
        <v>951.72</v>
      </c>
      <c r="Z298" s="5">
        <f t="shared" si="4"/>
        <v>6238.72</v>
      </c>
      <c r="AA298" s="5">
        <v>371</v>
      </c>
    </row>
    <row r="299" spans="2:27" x14ac:dyDescent="0.25">
      <c r="B299" s="6">
        <v>14723211</v>
      </c>
      <c r="C299" s="17">
        <v>0.64027777777777783</v>
      </c>
      <c r="D299" s="11">
        <v>44568</v>
      </c>
      <c r="E299" s="5" t="s">
        <v>31</v>
      </c>
      <c r="F299" s="5">
        <v>6421</v>
      </c>
      <c r="G299" s="5">
        <v>2</v>
      </c>
      <c r="H299" s="5">
        <v>2</v>
      </c>
      <c r="J299" s="5">
        <v>1998</v>
      </c>
      <c r="K299" s="5">
        <v>999</v>
      </c>
      <c r="X299" s="5">
        <v>999</v>
      </c>
      <c r="Y299" s="5">
        <f>89.91+89.91</f>
        <v>179.82</v>
      </c>
      <c r="Z299" s="5">
        <f t="shared" si="4"/>
        <v>1178.82</v>
      </c>
      <c r="AA299" s="5">
        <v>371</v>
      </c>
    </row>
    <row r="300" spans="2:27" x14ac:dyDescent="0.25">
      <c r="B300" s="6">
        <v>12567831</v>
      </c>
      <c r="C300" s="17">
        <v>0.86319444444444438</v>
      </c>
      <c r="D300" s="11">
        <v>44570</v>
      </c>
      <c r="E300" s="5" t="s">
        <v>31</v>
      </c>
      <c r="F300" s="5">
        <v>6480</v>
      </c>
      <c r="G300" s="5">
        <v>5</v>
      </c>
      <c r="H300" s="5">
        <v>5</v>
      </c>
      <c r="J300" s="5">
        <f>K300*2</f>
        <v>6275</v>
      </c>
      <c r="K300" s="5">
        <v>3137.5</v>
      </c>
      <c r="L300" s="5">
        <v>350</v>
      </c>
      <c r="M300" s="5">
        <v>70</v>
      </c>
      <c r="X300" s="5">
        <v>3417.5</v>
      </c>
      <c r="Y300" s="5">
        <f>307.58+307.58</f>
        <v>615.16</v>
      </c>
      <c r="Z300" s="5">
        <f t="shared" si="4"/>
        <v>4032.66</v>
      </c>
      <c r="AA300" s="5">
        <v>371</v>
      </c>
    </row>
    <row r="301" spans="2:27" x14ac:dyDescent="0.25">
      <c r="B301" s="6">
        <v>14375151</v>
      </c>
      <c r="C301" s="17">
        <v>0.55972222222222223</v>
      </c>
      <c r="D301" s="11">
        <v>44570</v>
      </c>
      <c r="E301" s="5" t="s">
        <v>31</v>
      </c>
      <c r="F301" s="5">
        <v>6465</v>
      </c>
      <c r="G301" s="5">
        <v>2</v>
      </c>
      <c r="H301" s="5">
        <v>2</v>
      </c>
      <c r="J301" s="5">
        <v>2998</v>
      </c>
      <c r="K301" s="5">
        <v>611</v>
      </c>
      <c r="X301" s="5">
        <v>2445.1799999999998</v>
      </c>
      <c r="Y301" s="5">
        <f>220+220</f>
        <v>440</v>
      </c>
      <c r="Z301" s="5">
        <f t="shared" si="4"/>
        <v>2885.18</v>
      </c>
      <c r="AA301" s="5">
        <v>371</v>
      </c>
    </row>
    <row r="302" spans="2:27" x14ac:dyDescent="0.25">
      <c r="B302" s="6">
        <v>14737181</v>
      </c>
      <c r="C302" s="17">
        <v>0.93055555555555547</v>
      </c>
      <c r="D302" s="11">
        <v>44571</v>
      </c>
      <c r="E302" s="5" t="s">
        <v>31</v>
      </c>
      <c r="F302" s="5">
        <v>6510</v>
      </c>
      <c r="G302" s="5">
        <v>2</v>
      </c>
      <c r="H302" s="5">
        <v>2</v>
      </c>
      <c r="J302" s="5">
        <v>2400</v>
      </c>
      <c r="K302" s="5">
        <v>1200</v>
      </c>
      <c r="X302" s="5">
        <v>1200</v>
      </c>
      <c r="Y302" s="5">
        <v>216</v>
      </c>
      <c r="Z302" s="5">
        <f t="shared" si="4"/>
        <v>1416</v>
      </c>
      <c r="AA302" s="5">
        <v>371</v>
      </c>
    </row>
    <row r="303" spans="2:27" x14ac:dyDescent="0.25">
      <c r="B303" s="6">
        <v>14691721</v>
      </c>
      <c r="C303" s="17">
        <v>0.43541666666666662</v>
      </c>
      <c r="D303" s="11">
        <v>44572</v>
      </c>
      <c r="E303" s="5" t="s">
        <v>31</v>
      </c>
      <c r="F303" s="5">
        <v>6515</v>
      </c>
      <c r="G303" s="5">
        <v>4</v>
      </c>
      <c r="H303" s="5">
        <v>4</v>
      </c>
      <c r="J303" s="5">
        <v>2097</v>
      </c>
      <c r="K303" s="5">
        <v>692.1</v>
      </c>
      <c r="X303" s="5">
        <v>1404</v>
      </c>
      <c r="Y303" s="5">
        <f>126.45+126.45</f>
        <v>252.9</v>
      </c>
      <c r="Z303" s="5">
        <f t="shared" si="4"/>
        <v>1656.9</v>
      </c>
      <c r="AA303" s="5">
        <v>371</v>
      </c>
    </row>
    <row r="304" spans="2:27" x14ac:dyDescent="0.25">
      <c r="B304" s="6">
        <v>12813361</v>
      </c>
      <c r="C304" s="17">
        <v>0.57708333333333328</v>
      </c>
      <c r="D304" s="11">
        <v>44602</v>
      </c>
      <c r="E304" s="5" t="s">
        <v>31</v>
      </c>
      <c r="F304" s="5">
        <v>6794</v>
      </c>
      <c r="G304" s="5">
        <v>4</v>
      </c>
      <c r="H304" s="5">
        <v>4</v>
      </c>
      <c r="J304" s="5">
        <f>K304*2</f>
        <v>2404.2399999999998</v>
      </c>
      <c r="K304" s="5">
        <v>1202.1199999999999</v>
      </c>
      <c r="X304" s="5">
        <v>3606</v>
      </c>
      <c r="Y304" s="5">
        <f>324.57+324.57</f>
        <v>649.14</v>
      </c>
      <c r="Z304" s="5">
        <f t="shared" si="4"/>
        <v>4255.1400000000003</v>
      </c>
      <c r="AA304" s="5">
        <v>371</v>
      </c>
    </row>
    <row r="305" spans="2:27" x14ac:dyDescent="0.25">
      <c r="B305" s="6">
        <v>13813361</v>
      </c>
      <c r="C305" s="17">
        <v>0.81944444444444453</v>
      </c>
      <c r="D305" s="11">
        <v>44600</v>
      </c>
      <c r="E305" s="5" t="s">
        <v>31</v>
      </c>
      <c r="F305" s="5">
        <v>6732</v>
      </c>
      <c r="G305" s="5">
        <v>2</v>
      </c>
      <c r="H305" s="5">
        <v>2</v>
      </c>
      <c r="J305" s="5">
        <v>10800</v>
      </c>
      <c r="K305" s="5">
        <v>5400</v>
      </c>
      <c r="X305" s="5">
        <v>5400</v>
      </c>
      <c r="Y305" s="5">
        <f>486+486</f>
        <v>972</v>
      </c>
      <c r="Z305" s="5">
        <f t="shared" si="4"/>
        <v>6372</v>
      </c>
      <c r="AA305" s="5">
        <v>363</v>
      </c>
    </row>
    <row r="306" spans="2:27" x14ac:dyDescent="0.25">
      <c r="B306" s="6">
        <v>14955011</v>
      </c>
      <c r="C306" s="17">
        <v>0.8618055555555556</v>
      </c>
      <c r="D306" s="11">
        <v>44600</v>
      </c>
      <c r="E306" s="5" t="s">
        <v>31</v>
      </c>
      <c r="F306" s="5">
        <v>6731</v>
      </c>
      <c r="G306" s="5">
        <v>2</v>
      </c>
      <c r="H306" s="5">
        <v>2</v>
      </c>
      <c r="J306" s="5">
        <v>1350</v>
      </c>
      <c r="K306" s="5">
        <v>675</v>
      </c>
      <c r="X306" s="5">
        <v>675</v>
      </c>
      <c r="Y306" s="5">
        <f>60.75+60.7</f>
        <v>121.45</v>
      </c>
      <c r="Z306" s="5">
        <f t="shared" si="4"/>
        <v>796.45</v>
      </c>
      <c r="AA306" s="5">
        <v>371</v>
      </c>
    </row>
    <row r="307" spans="2:27" x14ac:dyDescent="0.25">
      <c r="B307" s="6">
        <v>12938300</v>
      </c>
      <c r="C307" s="17">
        <v>0.85277777777777775</v>
      </c>
      <c r="D307" s="11">
        <v>44607</v>
      </c>
      <c r="E307" s="5" t="s">
        <v>55</v>
      </c>
      <c r="F307" s="5">
        <v>3048</v>
      </c>
      <c r="G307" s="5">
        <v>8</v>
      </c>
      <c r="H307" s="5">
        <v>8</v>
      </c>
      <c r="O307" s="5">
        <f>P307*2</f>
        <v>20694</v>
      </c>
      <c r="P307" s="5">
        <v>10347</v>
      </c>
      <c r="X307" s="5">
        <v>11637</v>
      </c>
      <c r="Y307" s="5">
        <v>2273.5</v>
      </c>
      <c r="Z307" s="5">
        <f t="shared" si="4"/>
        <v>13910.5</v>
      </c>
      <c r="AA307" s="5">
        <v>371</v>
      </c>
    </row>
    <row r="308" spans="2:27" x14ac:dyDescent="0.25">
      <c r="B308" s="6">
        <v>12234291</v>
      </c>
      <c r="C308" s="17">
        <v>0.90902777777777777</v>
      </c>
      <c r="D308" s="11">
        <v>44607</v>
      </c>
      <c r="E308" s="5" t="s">
        <v>31</v>
      </c>
      <c r="F308" s="5">
        <v>6057</v>
      </c>
      <c r="G308" s="5">
        <v>1</v>
      </c>
      <c r="H308" s="5">
        <v>1</v>
      </c>
      <c r="J308" s="5">
        <v>3457</v>
      </c>
      <c r="K308" s="5">
        <v>1728.74</v>
      </c>
      <c r="X308" s="5">
        <v>1728.73</v>
      </c>
      <c r="Y308" s="5">
        <f>155.59+155.59</f>
        <v>311.18</v>
      </c>
      <c r="Z308" s="5">
        <f t="shared" si="4"/>
        <v>2039.91</v>
      </c>
      <c r="AA308" s="5">
        <v>371</v>
      </c>
    </row>
    <row r="309" spans="2:27" x14ac:dyDescent="0.25">
      <c r="B309" s="6">
        <v>12038081</v>
      </c>
      <c r="C309" s="17">
        <v>0.86249999999999993</v>
      </c>
      <c r="D309" s="11">
        <v>44607</v>
      </c>
      <c r="E309" s="5" t="s">
        <v>31</v>
      </c>
      <c r="F309" s="5">
        <v>6047</v>
      </c>
      <c r="G309" s="5">
        <v>10</v>
      </c>
      <c r="H309" s="5">
        <v>10</v>
      </c>
      <c r="J309" s="5">
        <v>1200</v>
      </c>
      <c r="K309" s="5">
        <v>6500</v>
      </c>
      <c r="L309" s="5">
        <f>M309*2</f>
        <v>525</v>
      </c>
      <c r="M309" s="5">
        <v>262.5</v>
      </c>
      <c r="X309" s="5">
        <v>6762.5</v>
      </c>
      <c r="Y309" s="5">
        <f>608.63+608.63</f>
        <v>1217.26</v>
      </c>
      <c r="Z309" s="5">
        <f t="shared" si="4"/>
        <v>7979.76</v>
      </c>
      <c r="AA309" s="5">
        <v>371</v>
      </c>
    </row>
    <row r="310" spans="2:27" x14ac:dyDescent="0.25">
      <c r="B310" s="6">
        <v>12606451</v>
      </c>
      <c r="C310" s="17">
        <v>0.69305555555555554</v>
      </c>
      <c r="D310" s="11">
        <v>44607</v>
      </c>
      <c r="E310" s="5" t="s">
        <v>31</v>
      </c>
      <c r="F310" s="5">
        <v>6037</v>
      </c>
      <c r="G310" s="5">
        <v>4</v>
      </c>
      <c r="H310" s="5">
        <v>4</v>
      </c>
      <c r="J310" s="5">
        <f>+K310*4</f>
        <v>958.48</v>
      </c>
      <c r="K310" s="5">
        <v>239.62</v>
      </c>
      <c r="X310" s="5">
        <v>718.85</v>
      </c>
      <c r="Y310" s="5">
        <f>64.7+64.7</f>
        <v>129.4</v>
      </c>
      <c r="Z310" s="5">
        <f t="shared" si="4"/>
        <v>848.25</v>
      </c>
      <c r="AA310" s="5">
        <v>371</v>
      </c>
    </row>
    <row r="311" spans="2:27" x14ac:dyDescent="0.25">
      <c r="B311" s="6" t="s">
        <v>110</v>
      </c>
      <c r="C311" s="17">
        <v>0.85625000000000007</v>
      </c>
      <c r="D311" s="11">
        <v>44608</v>
      </c>
      <c r="E311" s="5" t="s">
        <v>31</v>
      </c>
      <c r="F311" s="5">
        <v>6092</v>
      </c>
      <c r="G311" s="5">
        <v>8</v>
      </c>
      <c r="H311" s="5">
        <v>8</v>
      </c>
      <c r="J311" s="5">
        <f>K311*2</f>
        <v>12650</v>
      </c>
      <c r="K311" s="5">
        <v>6325</v>
      </c>
      <c r="X311" s="5">
        <v>7876</v>
      </c>
      <c r="Y311" s="5">
        <f>600.75+600.75</f>
        <v>1201.5</v>
      </c>
      <c r="Z311" s="5">
        <f t="shared" si="4"/>
        <v>9077.5</v>
      </c>
      <c r="AA311" s="5">
        <v>362</v>
      </c>
    </row>
    <row r="312" spans="2:27" x14ac:dyDescent="0.25">
      <c r="B312" s="6" t="s">
        <v>111</v>
      </c>
      <c r="C312" s="17">
        <v>0.46319444444444446</v>
      </c>
      <c r="D312" s="11">
        <v>44608</v>
      </c>
      <c r="E312" s="5" t="s">
        <v>31</v>
      </c>
      <c r="F312" s="5">
        <v>6069</v>
      </c>
      <c r="G312" s="5">
        <v>5</v>
      </c>
      <c r="H312" s="5">
        <v>5</v>
      </c>
      <c r="J312" s="5">
        <v>4975</v>
      </c>
      <c r="K312" s="5">
        <v>2487.5</v>
      </c>
      <c r="X312" s="5">
        <v>2487.5</v>
      </c>
      <c r="Y312" s="5">
        <f>223.88+233.88</f>
        <v>457.76</v>
      </c>
      <c r="Z312" s="5">
        <f t="shared" si="4"/>
        <v>2945.26</v>
      </c>
      <c r="AA312" s="5">
        <v>363</v>
      </c>
    </row>
    <row r="313" spans="2:27" x14ac:dyDescent="0.25">
      <c r="B313" s="6" t="s">
        <v>112</v>
      </c>
      <c r="C313" s="17">
        <v>0.86111111111111116</v>
      </c>
      <c r="D313" s="11">
        <v>44609</v>
      </c>
      <c r="E313" s="5" t="s">
        <v>31</v>
      </c>
      <c r="F313" s="5">
        <v>6126</v>
      </c>
      <c r="G313" s="5">
        <v>4</v>
      </c>
      <c r="H313" s="5">
        <v>4</v>
      </c>
      <c r="J313" s="5">
        <v>5600</v>
      </c>
      <c r="K313" s="5">
        <v>2800</v>
      </c>
      <c r="X313" s="5">
        <v>2916.94</v>
      </c>
      <c r="Y313" s="5">
        <f>262.52+262.52</f>
        <v>525.04</v>
      </c>
      <c r="Z313" s="5">
        <f t="shared" si="4"/>
        <v>3441.98</v>
      </c>
      <c r="AA313" s="5">
        <v>371</v>
      </c>
    </row>
    <row r="314" spans="2:27" x14ac:dyDescent="0.25">
      <c r="B314" s="6">
        <v>12625901</v>
      </c>
      <c r="C314" s="17">
        <v>0.77500000000000002</v>
      </c>
      <c r="D314" s="11">
        <v>44609</v>
      </c>
      <c r="E314" s="5" t="s">
        <v>31</v>
      </c>
      <c r="F314" s="5">
        <v>6120</v>
      </c>
      <c r="G314" s="5">
        <v>2</v>
      </c>
      <c r="H314" s="5">
        <v>2</v>
      </c>
      <c r="J314" s="5">
        <v>475</v>
      </c>
      <c r="K314" s="5">
        <v>237.5</v>
      </c>
      <c r="X314" s="5">
        <v>237.5</v>
      </c>
      <c r="Y314" s="5">
        <f>21.38+21.38</f>
        <v>42.76</v>
      </c>
      <c r="Z314" s="5">
        <f t="shared" si="4"/>
        <v>280.26</v>
      </c>
      <c r="AA314" s="5">
        <v>362</v>
      </c>
    </row>
    <row r="315" spans="2:27" x14ac:dyDescent="0.25">
      <c r="B315" s="6" t="s">
        <v>113</v>
      </c>
      <c r="C315" s="17">
        <v>0.61527777777777781</v>
      </c>
      <c r="D315" s="11">
        <v>44609</v>
      </c>
      <c r="E315" s="5" t="s">
        <v>31</v>
      </c>
      <c r="F315" s="5">
        <v>6112</v>
      </c>
      <c r="G315" s="5">
        <v>2</v>
      </c>
      <c r="H315" s="5">
        <v>2</v>
      </c>
      <c r="J315" s="5">
        <v>1250</v>
      </c>
      <c r="K315" s="5">
        <v>625</v>
      </c>
      <c r="X315" s="5">
        <v>625</v>
      </c>
      <c r="Y315" s="5">
        <f>56.25+56.25</f>
        <v>112.5</v>
      </c>
      <c r="Z315" s="5">
        <f t="shared" si="4"/>
        <v>737.5</v>
      </c>
      <c r="AA315" s="5">
        <v>340</v>
      </c>
    </row>
    <row r="316" spans="2:27" x14ac:dyDescent="0.25">
      <c r="B316" s="6">
        <v>14000000</v>
      </c>
      <c r="C316" s="17">
        <v>0.8652777777777777</v>
      </c>
      <c r="D316" s="11">
        <v>44610</v>
      </c>
      <c r="E316" s="5" t="s">
        <v>55</v>
      </c>
      <c r="F316" s="5">
        <v>3087</v>
      </c>
      <c r="G316" s="5">
        <v>3</v>
      </c>
      <c r="H316" s="5">
        <v>3</v>
      </c>
      <c r="J316" s="5">
        <v>5000</v>
      </c>
      <c r="K316" s="5">
        <v>1000</v>
      </c>
      <c r="X316" s="5">
        <v>4000</v>
      </c>
      <c r="Y316" s="5">
        <v>800</v>
      </c>
      <c r="Z316" s="5">
        <f t="shared" si="4"/>
        <v>4800</v>
      </c>
      <c r="AA316" s="5">
        <v>371</v>
      </c>
    </row>
    <row r="317" spans="2:27" x14ac:dyDescent="0.25">
      <c r="B317" s="6">
        <v>14836061</v>
      </c>
      <c r="C317" s="17">
        <v>0.88263888888888886</v>
      </c>
      <c r="D317" s="11">
        <v>44610</v>
      </c>
      <c r="E317" s="5" t="s">
        <v>31</v>
      </c>
      <c r="F317" s="5">
        <v>6165</v>
      </c>
      <c r="G317" s="5">
        <v>3</v>
      </c>
      <c r="H317" s="5">
        <v>3</v>
      </c>
      <c r="J317" s="5">
        <v>600</v>
      </c>
      <c r="K317" s="5">
        <v>198</v>
      </c>
      <c r="X317" s="5">
        <v>198</v>
      </c>
      <c r="Y317" s="5">
        <f>36.18+36.18</f>
        <v>72.36</v>
      </c>
      <c r="Z317" s="5">
        <f t="shared" si="4"/>
        <v>270.36</v>
      </c>
      <c r="AA317" s="5">
        <v>371</v>
      </c>
    </row>
    <row r="318" spans="2:27" x14ac:dyDescent="0.25">
      <c r="B318" s="6" t="s">
        <v>114</v>
      </c>
      <c r="C318" s="17">
        <v>0.85763888888888884</v>
      </c>
      <c r="D318" s="11">
        <v>44610</v>
      </c>
      <c r="E318" s="5" t="s">
        <v>31</v>
      </c>
      <c r="F318" s="5">
        <v>6162</v>
      </c>
      <c r="G318" s="5">
        <v>3</v>
      </c>
      <c r="H318" s="5">
        <v>3</v>
      </c>
      <c r="J318" s="5">
        <f>K318*2</f>
        <v>4708.4799999999996</v>
      </c>
      <c r="K318" s="5">
        <v>2354.2399999999998</v>
      </c>
      <c r="X318" s="5">
        <v>2354</v>
      </c>
      <c r="Y318" s="5">
        <f>211+211</f>
        <v>422</v>
      </c>
      <c r="Z318" s="5">
        <f t="shared" si="4"/>
        <v>2776</v>
      </c>
      <c r="AA318" s="5">
        <v>371</v>
      </c>
    </row>
    <row r="319" spans="2:27" x14ac:dyDescent="0.25">
      <c r="B319" s="6">
        <v>14504771</v>
      </c>
      <c r="C319" s="17">
        <v>0.78611111111111109</v>
      </c>
      <c r="D319" s="11">
        <v>44604</v>
      </c>
      <c r="E319" s="5" t="s">
        <v>55</v>
      </c>
      <c r="F319" s="5">
        <v>3980</v>
      </c>
      <c r="G319" s="5">
        <v>1</v>
      </c>
      <c r="H319" s="5">
        <v>1</v>
      </c>
      <c r="O319" s="5">
        <v>850</v>
      </c>
      <c r="P319" s="5">
        <v>425</v>
      </c>
      <c r="X319" s="5">
        <v>425</v>
      </c>
      <c r="Y319" s="5">
        <v>85</v>
      </c>
      <c r="Z319" s="5">
        <f t="shared" si="4"/>
        <v>510</v>
      </c>
      <c r="AA319" s="5">
        <v>371</v>
      </c>
    </row>
    <row r="320" spans="2:27" x14ac:dyDescent="0.25">
      <c r="B320" s="6">
        <v>126228101</v>
      </c>
      <c r="C320" s="17">
        <v>0.83611111111111114</v>
      </c>
      <c r="D320" s="11">
        <v>44604</v>
      </c>
      <c r="E320" s="5" t="s">
        <v>55</v>
      </c>
      <c r="F320" s="5">
        <v>3981</v>
      </c>
      <c r="G320" s="5">
        <v>2</v>
      </c>
      <c r="H320" s="5">
        <v>2</v>
      </c>
      <c r="O320" s="5">
        <v>495</v>
      </c>
      <c r="P320" s="5">
        <v>184</v>
      </c>
      <c r="X320" s="5">
        <v>736</v>
      </c>
      <c r="Y320" s="5">
        <v>147.19999999999999</v>
      </c>
      <c r="Z320" s="5">
        <f t="shared" si="4"/>
        <v>883.2</v>
      </c>
      <c r="AA320" s="5">
        <v>371</v>
      </c>
    </row>
    <row r="321" spans="2:27" x14ac:dyDescent="0.25">
      <c r="B321" s="6">
        <v>14504771</v>
      </c>
      <c r="C321" s="17">
        <v>0.78749999999999998</v>
      </c>
      <c r="D321" s="11">
        <v>44604</v>
      </c>
      <c r="E321" s="5" t="s">
        <v>55</v>
      </c>
      <c r="F321" s="5">
        <v>6869</v>
      </c>
      <c r="G321" s="5">
        <v>2</v>
      </c>
      <c r="H321" s="5">
        <v>2</v>
      </c>
      <c r="O321" s="5">
        <f>P321*2</f>
        <v>875</v>
      </c>
      <c r="P321" s="5">
        <v>437.5</v>
      </c>
      <c r="X321" s="5">
        <v>787.5</v>
      </c>
      <c r="Y321" s="5">
        <f>70.88+70.88</f>
        <v>141.76</v>
      </c>
      <c r="Z321" s="5">
        <f t="shared" si="4"/>
        <v>929.26</v>
      </c>
      <c r="AA321" s="5">
        <v>371</v>
      </c>
    </row>
    <row r="322" spans="2:27" x14ac:dyDescent="0.25">
      <c r="B322" s="6">
        <v>14375151</v>
      </c>
      <c r="C322" s="17">
        <v>0.55763888888888891</v>
      </c>
      <c r="D322" s="11">
        <v>44604</v>
      </c>
      <c r="E322" s="5" t="s">
        <v>31</v>
      </c>
      <c r="F322" s="5">
        <v>6860</v>
      </c>
      <c r="G322" s="5">
        <v>3</v>
      </c>
      <c r="H322" s="5">
        <v>3</v>
      </c>
      <c r="J322" s="5">
        <v>3897</v>
      </c>
      <c r="K322" s="5">
        <v>1286.01</v>
      </c>
      <c r="X322" s="5">
        <v>2610</v>
      </c>
      <c r="Y322" s="5">
        <f>234.99+234.99</f>
        <v>469.98</v>
      </c>
      <c r="Z322" s="5">
        <f t="shared" si="4"/>
        <v>3079.98</v>
      </c>
      <c r="AA322" s="5">
        <v>371</v>
      </c>
    </row>
    <row r="323" spans="2:27" x14ac:dyDescent="0.25">
      <c r="B323" s="6">
        <v>14463361</v>
      </c>
      <c r="C323" s="17">
        <v>0.9291666666666667</v>
      </c>
      <c r="D323" s="11">
        <v>44605</v>
      </c>
      <c r="E323" s="5" t="s">
        <v>55</v>
      </c>
      <c r="F323" s="5">
        <v>6956</v>
      </c>
      <c r="G323" s="5">
        <v>2</v>
      </c>
      <c r="H323" s="5">
        <v>2</v>
      </c>
      <c r="O323" s="5">
        <v>2225</v>
      </c>
      <c r="P323" s="5">
        <v>1112.5</v>
      </c>
      <c r="X323" s="5">
        <v>1112.5</v>
      </c>
      <c r="Y323" s="5">
        <v>200.26</v>
      </c>
      <c r="Z323" s="5">
        <f t="shared" si="4"/>
        <v>1312.76</v>
      </c>
      <c r="AA323" s="5">
        <v>362</v>
      </c>
    </row>
    <row r="324" spans="2:27" x14ac:dyDescent="0.25">
      <c r="B324" s="6" t="s">
        <v>115</v>
      </c>
      <c r="C324" s="17">
        <v>0.85486111111111107</v>
      </c>
      <c r="D324" s="11">
        <v>44605</v>
      </c>
      <c r="E324" s="5" t="s">
        <v>31</v>
      </c>
      <c r="F324" s="5">
        <v>6954</v>
      </c>
      <c r="G324" s="5">
        <v>2</v>
      </c>
      <c r="H324" s="5">
        <v>2</v>
      </c>
      <c r="J324" s="5">
        <v>9600</v>
      </c>
      <c r="K324" s="5">
        <v>4800</v>
      </c>
      <c r="X324" s="5">
        <v>4800</v>
      </c>
      <c r="Y324" s="5">
        <f>432+432</f>
        <v>864</v>
      </c>
      <c r="Z324" s="5">
        <f t="shared" si="4"/>
        <v>5664</v>
      </c>
      <c r="AA324" s="5">
        <v>369</v>
      </c>
    </row>
    <row r="325" spans="2:27" x14ac:dyDescent="0.25">
      <c r="B325" s="6">
        <v>12000000</v>
      </c>
      <c r="C325" s="17">
        <v>0.53680555555555554</v>
      </c>
      <c r="D325" s="11">
        <v>44605</v>
      </c>
      <c r="E325" s="5" t="s">
        <v>31</v>
      </c>
      <c r="F325" s="5">
        <v>6900</v>
      </c>
      <c r="G325" s="5">
        <v>3</v>
      </c>
      <c r="H325" s="5">
        <v>3</v>
      </c>
      <c r="J325" s="5">
        <v>7495</v>
      </c>
      <c r="K325" s="5">
        <v>1510</v>
      </c>
      <c r="X325" s="5">
        <v>6042.78</v>
      </c>
      <c r="Y325" s="5">
        <f>543.85+543.85</f>
        <v>1087.7</v>
      </c>
      <c r="Z325" s="5">
        <f t="shared" si="4"/>
        <v>7130.48</v>
      </c>
      <c r="AA325" s="5">
        <v>369</v>
      </c>
    </row>
    <row r="326" spans="2:27" x14ac:dyDescent="0.25">
      <c r="B326" s="6">
        <v>14783641</v>
      </c>
      <c r="C326" s="17">
        <v>0.67083333333333339</v>
      </c>
      <c r="D326" s="11">
        <v>44612</v>
      </c>
      <c r="E326" s="5" t="s">
        <v>30</v>
      </c>
      <c r="F326" s="5">
        <v>1755</v>
      </c>
      <c r="G326" s="5">
        <v>1</v>
      </c>
      <c r="H326" s="5">
        <v>1</v>
      </c>
      <c r="J326" s="5">
        <v>1800</v>
      </c>
      <c r="K326" s="5">
        <v>360</v>
      </c>
      <c r="X326" s="5">
        <v>1440</v>
      </c>
      <c r="Y326" s="5">
        <f>129.6+129.6</f>
        <v>259.2</v>
      </c>
      <c r="Z326" s="5">
        <f t="shared" si="4"/>
        <v>1699.2</v>
      </c>
      <c r="AA326" s="5">
        <v>312</v>
      </c>
    </row>
    <row r="327" spans="2:27" x14ac:dyDescent="0.25">
      <c r="B327" s="6">
        <v>12100791</v>
      </c>
      <c r="C327" s="17">
        <v>0.91736111111111107</v>
      </c>
      <c r="D327" s="11">
        <v>44612</v>
      </c>
      <c r="E327" s="5" t="s">
        <v>31</v>
      </c>
      <c r="F327" s="5">
        <v>6271</v>
      </c>
      <c r="G327" s="5">
        <v>4</v>
      </c>
      <c r="H327" s="5">
        <v>4</v>
      </c>
      <c r="J327" s="5">
        <f>500+575+450+500+525</f>
        <v>2550</v>
      </c>
      <c r="K327" s="5">
        <v>382.5</v>
      </c>
      <c r="X327" s="5">
        <v>2167.5</v>
      </c>
      <c r="Y327" s="5">
        <f>195.8+195.8</f>
        <v>391.6</v>
      </c>
      <c r="Z327" s="5">
        <f t="shared" si="4"/>
        <v>2559.1</v>
      </c>
      <c r="AA327" s="5">
        <v>371</v>
      </c>
    </row>
    <row r="328" spans="2:27" x14ac:dyDescent="0.25">
      <c r="B328" s="6">
        <v>12000000</v>
      </c>
      <c r="C328" s="17">
        <v>0.61041666666666672</v>
      </c>
      <c r="D328" s="11">
        <v>44613</v>
      </c>
      <c r="E328" s="5" t="s">
        <v>30</v>
      </c>
      <c r="F328" s="5">
        <v>1805</v>
      </c>
      <c r="G328" s="5">
        <v>1</v>
      </c>
      <c r="H328" s="5">
        <v>1</v>
      </c>
      <c r="J328" s="5">
        <f>K328*5</f>
        <v>1775</v>
      </c>
      <c r="K328" s="5">
        <v>355</v>
      </c>
      <c r="X328" s="5">
        <v>1420</v>
      </c>
      <c r="Y328" s="5">
        <f>127.8+127.8</f>
        <v>255.6</v>
      </c>
      <c r="Z328" s="5">
        <f t="shared" si="4"/>
        <v>1675.6</v>
      </c>
      <c r="AA328" s="5">
        <v>312</v>
      </c>
    </row>
    <row r="329" spans="2:27" x14ac:dyDescent="0.25">
      <c r="B329" s="6">
        <v>12000000</v>
      </c>
      <c r="C329" s="17">
        <v>0.8208333333333333</v>
      </c>
      <c r="D329" s="11">
        <v>44613</v>
      </c>
      <c r="E329" s="5" t="s">
        <v>30</v>
      </c>
      <c r="F329" s="5">
        <v>6296</v>
      </c>
      <c r="G329" s="5">
        <v>3</v>
      </c>
      <c r="H329" s="5">
        <v>3</v>
      </c>
      <c r="J329" s="5">
        <f>K329*5</f>
        <v>1437.5</v>
      </c>
      <c r="K329" s="5">
        <v>287.5</v>
      </c>
      <c r="X329" s="5">
        <v>862.5</v>
      </c>
      <c r="Y329" s="5">
        <f>77.63+7763</f>
        <v>7840.63</v>
      </c>
      <c r="Z329" s="5">
        <f t="shared" si="4"/>
        <v>8703.130000000001</v>
      </c>
      <c r="AA329" s="5">
        <v>371</v>
      </c>
    </row>
    <row r="330" spans="2:27" x14ac:dyDescent="0.25">
      <c r="B330" s="6">
        <v>12000000</v>
      </c>
      <c r="C330" s="17">
        <v>0.93541666666666667</v>
      </c>
      <c r="D330" s="11">
        <v>44615</v>
      </c>
      <c r="E330" s="5" t="s">
        <v>31</v>
      </c>
      <c r="F330" s="5">
        <v>6372</v>
      </c>
      <c r="G330" s="5">
        <v>6</v>
      </c>
      <c r="H330" s="5">
        <v>6</v>
      </c>
      <c r="J330" s="5">
        <v>7200</v>
      </c>
      <c r="K330" s="5">
        <v>3600</v>
      </c>
      <c r="X330" s="5">
        <v>3600</v>
      </c>
      <c r="Y330" s="5">
        <f>324+324</f>
        <v>648</v>
      </c>
      <c r="Z330" s="5">
        <f t="shared" si="4"/>
        <v>4248</v>
      </c>
      <c r="AA330" s="5">
        <v>371</v>
      </c>
    </row>
    <row r="331" spans="2:27" x14ac:dyDescent="0.25">
      <c r="B331" s="6">
        <v>12000000</v>
      </c>
      <c r="C331" s="17">
        <v>0.90694444444444444</v>
      </c>
      <c r="D331" s="11">
        <v>44615</v>
      </c>
      <c r="E331" s="5" t="s">
        <v>31</v>
      </c>
      <c r="F331" s="5">
        <v>6369</v>
      </c>
      <c r="G331" s="5">
        <v>2</v>
      </c>
      <c r="H331" s="5">
        <v>2</v>
      </c>
      <c r="J331" s="5">
        <v>2400</v>
      </c>
      <c r="K331" s="5">
        <v>1200</v>
      </c>
      <c r="X331" s="5">
        <v>1200</v>
      </c>
      <c r="Y331" s="5">
        <v>216</v>
      </c>
      <c r="Z331" s="5">
        <f t="shared" si="4"/>
        <v>1416</v>
      </c>
      <c r="AA331" s="5">
        <v>330</v>
      </c>
    </row>
    <row r="332" spans="2:27" x14ac:dyDescent="0.25">
      <c r="B332" s="6">
        <v>12000000</v>
      </c>
      <c r="C332" s="17">
        <v>0.76111111111111107</v>
      </c>
      <c r="D332" s="11">
        <v>44615</v>
      </c>
      <c r="E332" s="5" t="s">
        <v>31</v>
      </c>
      <c r="F332" s="5">
        <v>6350</v>
      </c>
      <c r="G332" s="5">
        <v>4</v>
      </c>
      <c r="H332" s="5">
        <v>4</v>
      </c>
      <c r="J332" s="5">
        <v>1100</v>
      </c>
      <c r="K332" s="5">
        <v>550</v>
      </c>
      <c r="X332" s="5">
        <v>550</v>
      </c>
      <c r="Y332" s="5">
        <f>49.5+49.5</f>
        <v>99</v>
      </c>
      <c r="Z332" s="5">
        <f t="shared" ref="Z332:Z395" si="5">X332+Y332</f>
        <v>649</v>
      </c>
      <c r="AA332" s="5">
        <v>312</v>
      </c>
    </row>
    <row r="333" spans="2:27" x14ac:dyDescent="0.25">
      <c r="B333" s="6" t="s">
        <v>116</v>
      </c>
      <c r="C333" s="17">
        <v>0.72430555555555554</v>
      </c>
      <c r="D333" s="11">
        <v>44615</v>
      </c>
      <c r="E333" s="5" t="s">
        <v>31</v>
      </c>
      <c r="F333" s="5">
        <v>6348</v>
      </c>
      <c r="G333" s="5">
        <v>4</v>
      </c>
      <c r="H333" s="5">
        <v>4</v>
      </c>
      <c r="J333" s="5">
        <f>K333*2</f>
        <v>5650</v>
      </c>
      <c r="K333" s="5">
        <v>2825</v>
      </c>
      <c r="X333" s="5">
        <v>3000</v>
      </c>
      <c r="Y333" s="5">
        <v>540</v>
      </c>
      <c r="Z333" s="5">
        <f t="shared" si="5"/>
        <v>3540</v>
      </c>
      <c r="AA333" s="5">
        <v>371</v>
      </c>
    </row>
    <row r="334" spans="2:27" x14ac:dyDescent="0.25">
      <c r="B334" s="6">
        <v>14504301</v>
      </c>
      <c r="C334" s="17">
        <v>0.84861111111111109</v>
      </c>
      <c r="D334" s="11">
        <v>44616</v>
      </c>
      <c r="E334" s="5" t="s">
        <v>55</v>
      </c>
      <c r="F334" s="5">
        <v>3189</v>
      </c>
      <c r="G334" s="5">
        <v>3</v>
      </c>
      <c r="H334" s="5">
        <v>3</v>
      </c>
      <c r="O334" s="5">
        <f>P334*5</f>
        <v>6620</v>
      </c>
      <c r="P334" s="5">
        <v>1324</v>
      </c>
      <c r="X334" s="5">
        <v>5296</v>
      </c>
      <c r="Y334" s="5">
        <v>1059</v>
      </c>
      <c r="Z334" s="5">
        <f t="shared" si="5"/>
        <v>6355</v>
      </c>
      <c r="AA334" s="5">
        <v>371</v>
      </c>
    </row>
    <row r="335" spans="2:27" x14ac:dyDescent="0.25">
      <c r="B335" s="6">
        <v>14504801</v>
      </c>
      <c r="C335" s="17">
        <v>0.84166666666666667</v>
      </c>
      <c r="D335" s="11">
        <v>44616</v>
      </c>
      <c r="E335" s="5" t="s">
        <v>31</v>
      </c>
      <c r="F335" s="5">
        <v>6401</v>
      </c>
      <c r="G335" s="5">
        <v>12</v>
      </c>
      <c r="H335" s="5">
        <v>12</v>
      </c>
      <c r="J335" s="5">
        <f>K335*5</f>
        <v>10800</v>
      </c>
      <c r="K335" s="5">
        <v>2160</v>
      </c>
      <c r="X335" s="5">
        <v>8965</v>
      </c>
      <c r="Y335" s="5">
        <f>806.85+806.85</f>
        <v>1613.7</v>
      </c>
      <c r="Z335" s="5">
        <f t="shared" si="5"/>
        <v>10578.7</v>
      </c>
      <c r="AA335" s="5">
        <v>330</v>
      </c>
    </row>
    <row r="336" spans="2:27" x14ac:dyDescent="0.25">
      <c r="B336" s="6">
        <v>12606451</v>
      </c>
      <c r="C336" s="17">
        <v>0.69097222222222221</v>
      </c>
      <c r="D336" s="11">
        <v>44616</v>
      </c>
      <c r="E336" s="5" t="s">
        <v>31</v>
      </c>
      <c r="F336" s="5">
        <v>6393</v>
      </c>
      <c r="G336" s="5">
        <v>4</v>
      </c>
      <c r="H336" s="5">
        <v>4</v>
      </c>
      <c r="J336" s="5">
        <v>200</v>
      </c>
      <c r="K336" s="5">
        <v>40</v>
      </c>
      <c r="O336" s="5">
        <f>P336*5</f>
        <v>450</v>
      </c>
      <c r="P336" s="5">
        <v>90</v>
      </c>
      <c r="X336" s="5">
        <v>520</v>
      </c>
      <c r="Y336" s="5">
        <f>46.8+46.8</f>
        <v>93.6</v>
      </c>
      <c r="Z336" s="5">
        <f t="shared" si="5"/>
        <v>613.6</v>
      </c>
      <c r="AA336" s="5">
        <v>393</v>
      </c>
    </row>
    <row r="337" spans="2:27" x14ac:dyDescent="0.25">
      <c r="B337" s="6">
        <v>12690711</v>
      </c>
      <c r="C337" s="17">
        <v>0.6118055555555556</v>
      </c>
      <c r="D337" s="11">
        <v>44616</v>
      </c>
      <c r="E337" s="5" t="s">
        <v>31</v>
      </c>
      <c r="F337" s="5">
        <v>6385</v>
      </c>
      <c r="G337" s="5">
        <v>2</v>
      </c>
      <c r="H337" s="5">
        <v>2</v>
      </c>
      <c r="J337" s="5">
        <f>K337*2</f>
        <v>1158.48</v>
      </c>
      <c r="K337" s="5">
        <v>579.24</v>
      </c>
      <c r="X337" s="5">
        <v>579</v>
      </c>
      <c r="Y337" s="5">
        <f>52.13+52.13</f>
        <v>104.26</v>
      </c>
      <c r="Z337" s="5">
        <f t="shared" si="5"/>
        <v>683.26</v>
      </c>
      <c r="AA337" s="5">
        <v>371</v>
      </c>
    </row>
    <row r="338" spans="2:27" x14ac:dyDescent="0.25">
      <c r="B338" s="6">
        <v>12645811</v>
      </c>
      <c r="C338" s="17" t="s">
        <v>117</v>
      </c>
      <c r="D338" s="11">
        <v>44617</v>
      </c>
      <c r="E338" s="5" t="s">
        <v>31</v>
      </c>
      <c r="F338" s="5">
        <v>6441</v>
      </c>
      <c r="G338" s="5">
        <v>2</v>
      </c>
      <c r="H338" s="5">
        <v>2</v>
      </c>
      <c r="J338" s="5">
        <v>1300</v>
      </c>
      <c r="K338" s="5">
        <v>650</v>
      </c>
      <c r="X338" s="5">
        <v>650</v>
      </c>
      <c r="Y338" s="5">
        <f>58.5+58.5</f>
        <v>117</v>
      </c>
      <c r="Z338" s="5">
        <f t="shared" si="5"/>
        <v>767</v>
      </c>
      <c r="AA338" s="5">
        <v>363</v>
      </c>
    </row>
    <row r="339" spans="2:27" x14ac:dyDescent="0.25">
      <c r="B339" s="6">
        <v>12645811</v>
      </c>
      <c r="C339" s="17">
        <v>0.87430555555555556</v>
      </c>
      <c r="D339" s="11">
        <v>44617</v>
      </c>
      <c r="E339" s="5" t="s">
        <v>55</v>
      </c>
      <c r="F339" s="5">
        <v>3208</v>
      </c>
      <c r="G339" s="5">
        <v>2</v>
      </c>
      <c r="H339" s="5">
        <v>2</v>
      </c>
      <c r="O339" s="5">
        <f>P339*5</f>
        <v>2265</v>
      </c>
      <c r="P339" s="5">
        <f>255+198</f>
        <v>453</v>
      </c>
      <c r="X339" s="5">
        <v>1812</v>
      </c>
      <c r="Y339" s="5">
        <v>362</v>
      </c>
      <c r="Z339" s="5">
        <f t="shared" si="5"/>
        <v>2174</v>
      </c>
    </row>
    <row r="340" spans="2:27" x14ac:dyDescent="0.25">
      <c r="Z340" s="5">
        <f t="shared" si="5"/>
        <v>0</v>
      </c>
    </row>
    <row r="341" spans="2:27" x14ac:dyDescent="0.25">
      <c r="Z341" s="5">
        <f t="shared" si="5"/>
        <v>0</v>
      </c>
    </row>
    <row r="342" spans="2:27" x14ac:dyDescent="0.25">
      <c r="Z342" s="5">
        <f t="shared" si="5"/>
        <v>0</v>
      </c>
    </row>
    <row r="343" spans="2:27" x14ac:dyDescent="0.25">
      <c r="Z343" s="5">
        <f t="shared" si="5"/>
        <v>0</v>
      </c>
    </row>
    <row r="344" spans="2:27" x14ac:dyDescent="0.25">
      <c r="Z344" s="5">
        <f t="shared" si="5"/>
        <v>0</v>
      </c>
    </row>
    <row r="345" spans="2:27" x14ac:dyDescent="0.25">
      <c r="Z345" s="5">
        <f t="shared" si="5"/>
        <v>0</v>
      </c>
    </row>
    <row r="346" spans="2:27" x14ac:dyDescent="0.25">
      <c r="Z346" s="5">
        <f t="shared" si="5"/>
        <v>0</v>
      </c>
    </row>
    <row r="347" spans="2:27" x14ac:dyDescent="0.25">
      <c r="Z347" s="5">
        <f t="shared" si="5"/>
        <v>0</v>
      </c>
    </row>
    <row r="348" spans="2:27" x14ac:dyDescent="0.25">
      <c r="Z348" s="5">
        <f t="shared" si="5"/>
        <v>0</v>
      </c>
    </row>
    <row r="349" spans="2:27" x14ac:dyDescent="0.25">
      <c r="Z349" s="5">
        <f t="shared" si="5"/>
        <v>0</v>
      </c>
    </row>
    <row r="350" spans="2:27" x14ac:dyDescent="0.25">
      <c r="Z350" s="5">
        <f t="shared" si="5"/>
        <v>0</v>
      </c>
    </row>
    <row r="351" spans="2:27" x14ac:dyDescent="0.25">
      <c r="Z351" s="5">
        <f t="shared" si="5"/>
        <v>0</v>
      </c>
    </row>
    <row r="352" spans="2:27" x14ac:dyDescent="0.25">
      <c r="Z352" s="5">
        <f t="shared" si="5"/>
        <v>0</v>
      </c>
    </row>
    <row r="353" spans="26:26" x14ac:dyDescent="0.25">
      <c r="Z353" s="5">
        <f t="shared" si="5"/>
        <v>0</v>
      </c>
    </row>
    <row r="354" spans="26:26" x14ac:dyDescent="0.25">
      <c r="Z354" s="5">
        <f t="shared" si="5"/>
        <v>0</v>
      </c>
    </row>
    <row r="355" spans="26:26" x14ac:dyDescent="0.25">
      <c r="Z355" s="5">
        <f t="shared" si="5"/>
        <v>0</v>
      </c>
    </row>
    <row r="356" spans="26:26" x14ac:dyDescent="0.25">
      <c r="Z356" s="5">
        <f t="shared" si="5"/>
        <v>0</v>
      </c>
    </row>
    <row r="357" spans="26:26" x14ac:dyDescent="0.25">
      <c r="Z357" s="5">
        <f t="shared" si="5"/>
        <v>0</v>
      </c>
    </row>
    <row r="358" spans="26:26" x14ac:dyDescent="0.25">
      <c r="Z358" s="5">
        <f t="shared" si="5"/>
        <v>0</v>
      </c>
    </row>
    <row r="359" spans="26:26" x14ac:dyDescent="0.25">
      <c r="Z359" s="5">
        <f t="shared" si="5"/>
        <v>0</v>
      </c>
    </row>
    <row r="360" spans="26:26" x14ac:dyDescent="0.25">
      <c r="Z360" s="5">
        <f t="shared" si="5"/>
        <v>0</v>
      </c>
    </row>
    <row r="361" spans="26:26" x14ac:dyDescent="0.25">
      <c r="Z361" s="5">
        <f t="shared" si="5"/>
        <v>0</v>
      </c>
    </row>
    <row r="362" spans="26:26" x14ac:dyDescent="0.25">
      <c r="Z362" s="5">
        <f t="shared" si="5"/>
        <v>0</v>
      </c>
    </row>
    <row r="363" spans="26:26" x14ac:dyDescent="0.25">
      <c r="Z363" s="5">
        <f t="shared" si="5"/>
        <v>0</v>
      </c>
    </row>
    <row r="364" spans="26:26" x14ac:dyDescent="0.25">
      <c r="Z364" s="5">
        <f t="shared" si="5"/>
        <v>0</v>
      </c>
    </row>
    <row r="365" spans="26:26" x14ac:dyDescent="0.25">
      <c r="Z365" s="5">
        <f t="shared" si="5"/>
        <v>0</v>
      </c>
    </row>
    <row r="366" spans="26:26" x14ac:dyDescent="0.25">
      <c r="Z366" s="5">
        <f t="shared" si="5"/>
        <v>0</v>
      </c>
    </row>
    <row r="367" spans="26:26" x14ac:dyDescent="0.25">
      <c r="Z367" s="5">
        <f t="shared" si="5"/>
        <v>0</v>
      </c>
    </row>
    <row r="368" spans="26:26" x14ac:dyDescent="0.25">
      <c r="Z368" s="5">
        <f t="shared" si="5"/>
        <v>0</v>
      </c>
    </row>
    <row r="369" spans="26:26" x14ac:dyDescent="0.25">
      <c r="Z369" s="5">
        <f t="shared" si="5"/>
        <v>0</v>
      </c>
    </row>
    <row r="370" spans="26:26" x14ac:dyDescent="0.25">
      <c r="Z370" s="5">
        <f t="shared" si="5"/>
        <v>0</v>
      </c>
    </row>
    <row r="371" spans="26:26" x14ac:dyDescent="0.25">
      <c r="Z371" s="5">
        <f t="shared" si="5"/>
        <v>0</v>
      </c>
    </row>
    <row r="372" spans="26:26" x14ac:dyDescent="0.25">
      <c r="Z372" s="5">
        <f t="shared" si="5"/>
        <v>0</v>
      </c>
    </row>
    <row r="373" spans="26:26" x14ac:dyDescent="0.25">
      <c r="Z373" s="5">
        <f t="shared" si="5"/>
        <v>0</v>
      </c>
    </row>
    <row r="374" spans="26:26" x14ac:dyDescent="0.25">
      <c r="Z374" s="5">
        <f t="shared" si="5"/>
        <v>0</v>
      </c>
    </row>
    <row r="375" spans="26:26" x14ac:dyDescent="0.25">
      <c r="Z375" s="5">
        <f t="shared" si="5"/>
        <v>0</v>
      </c>
    </row>
    <row r="376" spans="26:26" x14ac:dyDescent="0.25">
      <c r="Z376" s="5">
        <f t="shared" si="5"/>
        <v>0</v>
      </c>
    </row>
    <row r="377" spans="26:26" x14ac:dyDescent="0.25">
      <c r="Z377" s="5">
        <f t="shared" si="5"/>
        <v>0</v>
      </c>
    </row>
    <row r="378" spans="26:26" x14ac:dyDescent="0.25">
      <c r="Z378" s="5">
        <f t="shared" si="5"/>
        <v>0</v>
      </c>
    </row>
    <row r="379" spans="26:26" x14ac:dyDescent="0.25">
      <c r="Z379" s="5">
        <f t="shared" si="5"/>
        <v>0</v>
      </c>
    </row>
    <row r="380" spans="26:26" x14ac:dyDescent="0.25">
      <c r="Z380" s="5">
        <f t="shared" si="5"/>
        <v>0</v>
      </c>
    </row>
    <row r="381" spans="26:26" x14ac:dyDescent="0.25">
      <c r="Z381" s="5">
        <f t="shared" si="5"/>
        <v>0</v>
      </c>
    </row>
    <row r="382" spans="26:26" x14ac:dyDescent="0.25">
      <c r="Z382" s="5">
        <f t="shared" si="5"/>
        <v>0</v>
      </c>
    </row>
    <row r="383" spans="26:26" x14ac:dyDescent="0.25">
      <c r="Z383" s="5">
        <f t="shared" si="5"/>
        <v>0</v>
      </c>
    </row>
    <row r="384" spans="26:26" x14ac:dyDescent="0.25">
      <c r="Z384" s="5">
        <f t="shared" si="5"/>
        <v>0</v>
      </c>
    </row>
    <row r="385" spans="26:26" x14ac:dyDescent="0.25">
      <c r="Z385" s="5">
        <f t="shared" si="5"/>
        <v>0</v>
      </c>
    </row>
    <row r="386" spans="26:26" x14ac:dyDescent="0.25">
      <c r="Z386" s="5">
        <f t="shared" si="5"/>
        <v>0</v>
      </c>
    </row>
    <row r="387" spans="26:26" x14ac:dyDescent="0.25">
      <c r="Z387" s="5">
        <f t="shared" si="5"/>
        <v>0</v>
      </c>
    </row>
    <row r="388" spans="26:26" x14ac:dyDescent="0.25">
      <c r="Z388" s="5">
        <f t="shared" si="5"/>
        <v>0</v>
      </c>
    </row>
    <row r="389" spans="26:26" x14ac:dyDescent="0.25">
      <c r="Z389" s="5">
        <f t="shared" si="5"/>
        <v>0</v>
      </c>
    </row>
    <row r="390" spans="26:26" x14ac:dyDescent="0.25">
      <c r="Z390" s="5">
        <f t="shared" si="5"/>
        <v>0</v>
      </c>
    </row>
    <row r="391" spans="26:26" x14ac:dyDescent="0.25">
      <c r="Z391" s="5">
        <f t="shared" si="5"/>
        <v>0</v>
      </c>
    </row>
    <row r="392" spans="26:26" x14ac:dyDescent="0.25">
      <c r="Z392" s="5">
        <f t="shared" si="5"/>
        <v>0</v>
      </c>
    </row>
    <row r="393" spans="26:26" x14ac:dyDescent="0.25">
      <c r="Z393" s="5">
        <f t="shared" si="5"/>
        <v>0</v>
      </c>
    </row>
    <row r="394" spans="26:26" x14ac:dyDescent="0.25">
      <c r="Z394" s="5">
        <f t="shared" si="5"/>
        <v>0</v>
      </c>
    </row>
    <row r="395" spans="26:26" x14ac:dyDescent="0.25">
      <c r="Z395" s="5">
        <f t="shared" si="5"/>
        <v>0</v>
      </c>
    </row>
    <row r="396" spans="26:26" x14ac:dyDescent="0.25">
      <c r="Z396" s="5">
        <f t="shared" ref="Z396:Z420" si="6">X396+Y396</f>
        <v>0</v>
      </c>
    </row>
    <row r="397" spans="26:26" x14ac:dyDescent="0.25">
      <c r="Z397" s="5">
        <f t="shared" si="6"/>
        <v>0</v>
      </c>
    </row>
    <row r="398" spans="26:26" x14ac:dyDescent="0.25">
      <c r="Z398" s="5">
        <f t="shared" si="6"/>
        <v>0</v>
      </c>
    </row>
    <row r="399" spans="26:26" x14ac:dyDescent="0.25">
      <c r="Z399" s="5">
        <f t="shared" si="6"/>
        <v>0</v>
      </c>
    </row>
    <row r="400" spans="26:26" x14ac:dyDescent="0.25">
      <c r="Z400" s="5">
        <f t="shared" si="6"/>
        <v>0</v>
      </c>
    </row>
    <row r="401" spans="26:26" x14ac:dyDescent="0.25">
      <c r="Z401" s="5">
        <f t="shared" si="6"/>
        <v>0</v>
      </c>
    </row>
    <row r="402" spans="26:26" x14ac:dyDescent="0.25">
      <c r="Z402" s="5">
        <f t="shared" si="6"/>
        <v>0</v>
      </c>
    </row>
    <row r="403" spans="26:26" x14ac:dyDescent="0.25">
      <c r="Z403" s="5">
        <f t="shared" si="6"/>
        <v>0</v>
      </c>
    </row>
    <row r="404" spans="26:26" x14ac:dyDescent="0.25">
      <c r="Z404" s="5">
        <f t="shared" si="6"/>
        <v>0</v>
      </c>
    </row>
    <row r="405" spans="26:26" x14ac:dyDescent="0.25">
      <c r="Z405" s="5">
        <f t="shared" si="6"/>
        <v>0</v>
      </c>
    </row>
    <row r="406" spans="26:26" x14ac:dyDescent="0.25">
      <c r="Z406" s="5">
        <f t="shared" si="6"/>
        <v>0</v>
      </c>
    </row>
    <row r="407" spans="26:26" x14ac:dyDescent="0.25">
      <c r="Z407" s="5">
        <f t="shared" si="6"/>
        <v>0</v>
      </c>
    </row>
    <row r="408" spans="26:26" x14ac:dyDescent="0.25">
      <c r="Z408" s="5">
        <f t="shared" si="6"/>
        <v>0</v>
      </c>
    </row>
    <row r="409" spans="26:26" x14ac:dyDescent="0.25">
      <c r="Z409" s="5">
        <f t="shared" si="6"/>
        <v>0</v>
      </c>
    </row>
    <row r="410" spans="26:26" x14ac:dyDescent="0.25">
      <c r="Z410" s="5">
        <f t="shared" si="6"/>
        <v>0</v>
      </c>
    </row>
    <row r="411" spans="26:26" x14ac:dyDescent="0.25">
      <c r="Z411" s="5">
        <f t="shared" si="6"/>
        <v>0</v>
      </c>
    </row>
    <row r="412" spans="26:26" x14ac:dyDescent="0.25">
      <c r="Z412" s="5">
        <f t="shared" si="6"/>
        <v>0</v>
      </c>
    </row>
    <row r="413" spans="26:26" x14ac:dyDescent="0.25">
      <c r="Z413" s="5">
        <f t="shared" si="6"/>
        <v>0</v>
      </c>
    </row>
    <row r="414" spans="26:26" x14ac:dyDescent="0.25">
      <c r="Z414" s="5">
        <f t="shared" si="6"/>
        <v>0</v>
      </c>
    </row>
    <row r="415" spans="26:26" x14ac:dyDescent="0.25">
      <c r="Z415" s="5">
        <f t="shared" si="6"/>
        <v>0</v>
      </c>
    </row>
    <row r="416" spans="26:26" x14ac:dyDescent="0.25">
      <c r="Z416" s="5">
        <f t="shared" si="6"/>
        <v>0</v>
      </c>
    </row>
    <row r="417" spans="26:26" x14ac:dyDescent="0.25">
      <c r="Z417" s="5">
        <f t="shared" si="6"/>
        <v>0</v>
      </c>
    </row>
    <row r="418" spans="26:26" x14ac:dyDescent="0.25">
      <c r="Z418" s="5">
        <f t="shared" si="6"/>
        <v>0</v>
      </c>
    </row>
    <row r="419" spans="26:26" x14ac:dyDescent="0.25">
      <c r="Z419" s="5">
        <f t="shared" si="6"/>
        <v>0</v>
      </c>
    </row>
    <row r="420" spans="26:26" x14ac:dyDescent="0.25">
      <c r="Z420" s="5">
        <f t="shared" si="6"/>
        <v>0</v>
      </c>
    </row>
  </sheetData>
  <autoFilter ref="A1:AB394" xr:uid="{00000000-0009-0000-0000-000000000000}">
    <sortState xmlns:xlrd2="http://schemas.microsoft.com/office/spreadsheetml/2017/richdata2" ref="A2:AB394">
      <sortCondition ref="F1:F39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2022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Dhwani Prasad</cp:lastModifiedBy>
  <dcterms:created xsi:type="dcterms:W3CDTF">2022-03-03T09:26:32Z</dcterms:created>
  <dcterms:modified xsi:type="dcterms:W3CDTF">2022-03-23T13:28:24Z</dcterms:modified>
</cp:coreProperties>
</file>